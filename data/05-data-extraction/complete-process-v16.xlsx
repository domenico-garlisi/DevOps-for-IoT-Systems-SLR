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DATA\work\repository\DEVOPS-IOT-RP\data\05-data-extraction\"/>
    </mc:Choice>
  </mc:AlternateContent>
  <xr:revisionPtr revIDLastSave="0" documentId="13_ncr:1_{878576B9-473F-40DC-9E10-C0C86B041B5F}" xr6:coauthVersionLast="47" xr6:coauthVersionMax="47" xr10:uidLastSave="{00000000-0000-0000-0000-000000000000}"/>
  <bookViews>
    <workbookView xWindow="-103" yWindow="-18617" windowWidth="33120" windowHeight="18000" xr2:uid="{00000000-000D-0000-FFFF-FFFF00000000}"/>
  </bookViews>
  <sheets>
    <sheet name="RELEVANT" sheetId="1" r:id="rId1"/>
  </sheets>
  <definedNames>
    <definedName name="Lista">#REF!</definedName>
    <definedName name="Lista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141" i="1" l="1"/>
  <c r="AJ141" i="1"/>
  <c r="AI141" i="1"/>
  <c r="AH141" i="1"/>
  <c r="AG141" i="1"/>
  <c r="AF141" i="1"/>
  <c r="AK139" i="1"/>
  <c r="AJ139" i="1"/>
  <c r="AI139" i="1"/>
  <c r="AH139" i="1"/>
  <c r="AG139" i="1"/>
  <c r="AF139" i="1"/>
  <c r="AM138" i="1"/>
  <c r="AK132" i="1"/>
  <c r="AJ132" i="1"/>
  <c r="AI132" i="1"/>
  <c r="AH132" i="1"/>
  <c r="AG132" i="1"/>
  <c r="AF132" i="1"/>
  <c r="AK131" i="1"/>
  <c r="AJ131" i="1"/>
  <c r="AI131" i="1"/>
  <c r="AH131" i="1"/>
  <c r="AG131" i="1"/>
  <c r="AF131" i="1"/>
  <c r="AM130" i="1"/>
  <c r="AM129" i="1"/>
  <c r="AK123" i="1"/>
  <c r="G123" i="1"/>
  <c r="AH122" i="1"/>
  <c r="AI122" i="1" s="1"/>
  <c r="AB122" i="1"/>
  <c r="Y122" i="1"/>
  <c r="Z122" i="1" s="1"/>
  <c r="T122" i="1"/>
  <c r="U122" i="1" s="1"/>
  <c r="P122" i="1"/>
  <c r="M122" i="1"/>
  <c r="N122" i="1" s="1"/>
  <c r="H122" i="1"/>
  <c r="AH121" i="1"/>
  <c r="AI121" i="1" s="1"/>
  <c r="AB121" i="1"/>
  <c r="Y121" i="1"/>
  <c r="Z121" i="1" s="1"/>
  <c r="T121" i="1"/>
  <c r="U121" i="1" s="1"/>
  <c r="P121" i="1"/>
  <c r="M121" i="1"/>
  <c r="N121" i="1" s="1"/>
  <c r="H121" i="1"/>
  <c r="AH120" i="1"/>
  <c r="AI120" i="1" s="1"/>
  <c r="AB120" i="1"/>
  <c r="Y120" i="1"/>
  <c r="Z120" i="1" s="1"/>
  <c r="T120" i="1"/>
  <c r="U120" i="1" s="1"/>
  <c r="P120" i="1"/>
  <c r="M120" i="1"/>
  <c r="N120" i="1" s="1"/>
  <c r="H120" i="1"/>
  <c r="AH119" i="1"/>
  <c r="AI119" i="1" s="1"/>
  <c r="AB119" i="1"/>
  <c r="Y119" i="1"/>
  <c r="Z119" i="1" s="1"/>
  <c r="T119" i="1"/>
  <c r="U119" i="1" s="1"/>
  <c r="P119" i="1"/>
  <c r="M119" i="1"/>
  <c r="N119" i="1" s="1"/>
  <c r="H119" i="1"/>
  <c r="AH118" i="1"/>
  <c r="AI118" i="1" s="1"/>
  <c r="AB118" i="1"/>
  <c r="Y118" i="1"/>
  <c r="Z118" i="1" s="1"/>
  <c r="T118" i="1"/>
  <c r="U118" i="1" s="1"/>
  <c r="P118" i="1"/>
  <c r="M118" i="1"/>
  <c r="N118" i="1" s="1"/>
  <c r="H118" i="1"/>
  <c r="AH117" i="1"/>
  <c r="AI117" i="1" s="1"/>
  <c r="AB117" i="1"/>
  <c r="Y117" i="1"/>
  <c r="Z117" i="1" s="1"/>
  <c r="T117" i="1"/>
  <c r="U117" i="1" s="1"/>
  <c r="P117" i="1"/>
  <c r="M117" i="1"/>
  <c r="N117" i="1" s="1"/>
  <c r="H117" i="1"/>
  <c r="AH116" i="1"/>
  <c r="AI116" i="1" s="1"/>
  <c r="AB116" i="1"/>
  <c r="Y116" i="1"/>
  <c r="Z116" i="1" s="1"/>
  <c r="T116" i="1"/>
  <c r="U116" i="1" s="1"/>
  <c r="P116" i="1"/>
  <c r="M116" i="1"/>
  <c r="N116" i="1" s="1"/>
  <c r="H116" i="1"/>
  <c r="AH115" i="1"/>
  <c r="AI115" i="1" s="1"/>
  <c r="AB115" i="1"/>
  <c r="Y115" i="1"/>
  <c r="Z115" i="1" s="1"/>
  <c r="T115" i="1"/>
  <c r="U115" i="1" s="1"/>
  <c r="P115" i="1"/>
  <c r="M115" i="1"/>
  <c r="N115" i="1" s="1"/>
  <c r="H115" i="1"/>
  <c r="AH114" i="1"/>
  <c r="AI114" i="1" s="1"/>
  <c r="AB114" i="1"/>
  <c r="Y114" i="1"/>
  <c r="Z114" i="1" s="1"/>
  <c r="T114" i="1"/>
  <c r="U114" i="1" s="1"/>
  <c r="P114" i="1"/>
  <c r="M114" i="1"/>
  <c r="N114" i="1" s="1"/>
  <c r="H114" i="1"/>
  <c r="AH113" i="1"/>
  <c r="AI113" i="1" s="1"/>
  <c r="AB113" i="1"/>
  <c r="Y113" i="1"/>
  <c r="Z113" i="1" s="1"/>
  <c r="T113" i="1"/>
  <c r="U113" i="1" s="1"/>
  <c r="P113" i="1"/>
  <c r="M113" i="1"/>
  <c r="N113" i="1" s="1"/>
  <c r="H113" i="1"/>
  <c r="AH112" i="1"/>
  <c r="AI112" i="1" s="1"/>
  <c r="AB112" i="1"/>
  <c r="Y112" i="1"/>
  <c r="Z112" i="1" s="1"/>
  <c r="T112" i="1"/>
  <c r="U112" i="1" s="1"/>
  <c r="P112" i="1"/>
  <c r="M112" i="1"/>
  <c r="N112" i="1" s="1"/>
  <c r="H112" i="1"/>
  <c r="AH111" i="1"/>
  <c r="AI111" i="1" s="1"/>
  <c r="AB111" i="1"/>
  <c r="Y111" i="1"/>
  <c r="Z111" i="1" s="1"/>
  <c r="T111" i="1"/>
  <c r="U111" i="1" s="1"/>
  <c r="P111" i="1"/>
  <c r="M111" i="1"/>
  <c r="N111" i="1" s="1"/>
  <c r="H111" i="1"/>
  <c r="AH110" i="1"/>
  <c r="AI110" i="1" s="1"/>
  <c r="AB110" i="1"/>
  <c r="Y110" i="1"/>
  <c r="Z110" i="1" s="1"/>
  <c r="T110" i="1"/>
  <c r="U110" i="1" s="1"/>
  <c r="P110" i="1"/>
  <c r="M110" i="1"/>
  <c r="N110" i="1" s="1"/>
  <c r="H110" i="1"/>
  <c r="AH109" i="1"/>
  <c r="AI109" i="1" s="1"/>
  <c r="AB109" i="1"/>
  <c r="Y109" i="1"/>
  <c r="Z109" i="1" s="1"/>
  <c r="T109" i="1"/>
  <c r="U109" i="1" s="1"/>
  <c r="P109" i="1"/>
  <c r="M109" i="1"/>
  <c r="N109" i="1" s="1"/>
  <c r="H109" i="1"/>
  <c r="AH108" i="1"/>
  <c r="AI108" i="1" s="1"/>
  <c r="AB108" i="1"/>
  <c r="Y108" i="1"/>
  <c r="Z108" i="1" s="1"/>
  <c r="T108" i="1"/>
  <c r="U108" i="1" s="1"/>
  <c r="P108" i="1"/>
  <c r="M108" i="1"/>
  <c r="N108" i="1" s="1"/>
  <c r="H108" i="1"/>
  <c r="AH107" i="1"/>
  <c r="AI107" i="1" s="1"/>
  <c r="AB107" i="1"/>
  <c r="Y107" i="1"/>
  <c r="Z107" i="1" s="1"/>
  <c r="T107" i="1"/>
  <c r="U107" i="1" s="1"/>
  <c r="P107" i="1"/>
  <c r="M107" i="1"/>
  <c r="N107" i="1" s="1"/>
  <c r="H107" i="1"/>
  <c r="AH106" i="1"/>
  <c r="AI106" i="1" s="1"/>
  <c r="AB106" i="1"/>
  <c r="Y106" i="1"/>
  <c r="Z106" i="1" s="1"/>
  <c r="T106" i="1"/>
  <c r="U106" i="1" s="1"/>
  <c r="P106" i="1"/>
  <c r="M106" i="1"/>
  <c r="N106" i="1" s="1"/>
  <c r="H106" i="1"/>
  <c r="AH105" i="1"/>
  <c r="AI105" i="1" s="1"/>
  <c r="AB105" i="1"/>
  <c r="Y105" i="1"/>
  <c r="Z105" i="1" s="1"/>
  <c r="T105" i="1"/>
  <c r="U105" i="1" s="1"/>
  <c r="P105" i="1"/>
  <c r="M105" i="1"/>
  <c r="N105" i="1" s="1"/>
  <c r="H105" i="1"/>
  <c r="AH104" i="1"/>
  <c r="AI104" i="1" s="1"/>
  <c r="AB104" i="1"/>
  <c r="Y104" i="1"/>
  <c r="Z104" i="1" s="1"/>
  <c r="T104" i="1"/>
  <c r="U104" i="1" s="1"/>
  <c r="P104" i="1"/>
  <c r="M104" i="1"/>
  <c r="N104" i="1" s="1"/>
  <c r="H104" i="1"/>
  <c r="AH103" i="1"/>
  <c r="AI103" i="1" s="1"/>
  <c r="AB103" i="1"/>
  <c r="Y103" i="1"/>
  <c r="Z103" i="1" s="1"/>
  <c r="T103" i="1"/>
  <c r="U103" i="1" s="1"/>
  <c r="P103" i="1"/>
  <c r="M103" i="1"/>
  <c r="N103" i="1" s="1"/>
  <c r="H103" i="1"/>
  <c r="AH102" i="1"/>
  <c r="AI102" i="1" s="1"/>
  <c r="AB102" i="1"/>
  <c r="Y102" i="1"/>
  <c r="Z102" i="1" s="1"/>
  <c r="T102" i="1"/>
  <c r="U102" i="1" s="1"/>
  <c r="P102" i="1"/>
  <c r="M102" i="1"/>
  <c r="N102" i="1" s="1"/>
  <c r="H102" i="1"/>
  <c r="AH101" i="1"/>
  <c r="AI101" i="1" s="1"/>
  <c r="AB101" i="1"/>
  <c r="Y101" i="1"/>
  <c r="Z101" i="1" s="1"/>
  <c r="T101" i="1"/>
  <c r="U101" i="1" s="1"/>
  <c r="P101" i="1"/>
  <c r="M101" i="1"/>
  <c r="N101" i="1" s="1"/>
  <c r="H101" i="1"/>
  <c r="AH100" i="1"/>
  <c r="AI100" i="1" s="1"/>
  <c r="AB100" i="1"/>
  <c r="Y100" i="1"/>
  <c r="Z100" i="1" s="1"/>
  <c r="T100" i="1"/>
  <c r="U100" i="1" s="1"/>
  <c r="P100" i="1"/>
  <c r="M100" i="1"/>
  <c r="N100" i="1" s="1"/>
  <c r="H100" i="1"/>
  <c r="AH99" i="1"/>
  <c r="AI99" i="1" s="1"/>
  <c r="AB99" i="1"/>
  <c r="Y99" i="1"/>
  <c r="Z99" i="1" s="1"/>
  <c r="T99" i="1"/>
  <c r="U99" i="1" s="1"/>
  <c r="P99" i="1"/>
  <c r="M99" i="1"/>
  <c r="N99" i="1" s="1"/>
  <c r="H99" i="1"/>
  <c r="AH98" i="1"/>
  <c r="AI98" i="1" s="1"/>
  <c r="AB98" i="1"/>
  <c r="Y98" i="1"/>
  <c r="Z98" i="1" s="1"/>
  <c r="T98" i="1"/>
  <c r="U98" i="1" s="1"/>
  <c r="P98" i="1"/>
  <c r="M98" i="1"/>
  <c r="N98" i="1" s="1"/>
  <c r="H98" i="1"/>
  <c r="AH97" i="1"/>
  <c r="AI97" i="1" s="1"/>
  <c r="AB97" i="1"/>
  <c r="Y97" i="1"/>
  <c r="Z97" i="1" s="1"/>
  <c r="T97" i="1"/>
  <c r="U97" i="1" s="1"/>
  <c r="P97" i="1"/>
  <c r="M97" i="1"/>
  <c r="N97" i="1" s="1"/>
  <c r="H97" i="1"/>
  <c r="AH96" i="1"/>
  <c r="AI96" i="1" s="1"/>
  <c r="AB96" i="1"/>
  <c r="Y96" i="1"/>
  <c r="Z96" i="1" s="1"/>
  <c r="T96" i="1"/>
  <c r="U96" i="1" s="1"/>
  <c r="P96" i="1"/>
  <c r="M96" i="1"/>
  <c r="N96" i="1" s="1"/>
  <c r="H96" i="1"/>
  <c r="AH95" i="1"/>
  <c r="AI95" i="1" s="1"/>
  <c r="AB95" i="1"/>
  <c r="Y95" i="1"/>
  <c r="Z95" i="1" s="1"/>
  <c r="T95" i="1"/>
  <c r="U95" i="1" s="1"/>
  <c r="P95" i="1"/>
  <c r="M95" i="1"/>
  <c r="N95" i="1" s="1"/>
  <c r="H95" i="1"/>
  <c r="AH94" i="1"/>
  <c r="AI94" i="1" s="1"/>
  <c r="AB94" i="1"/>
  <c r="Y94" i="1"/>
  <c r="Z94" i="1" s="1"/>
  <c r="T94" i="1"/>
  <c r="U94" i="1" s="1"/>
  <c r="P94" i="1"/>
  <c r="M94" i="1"/>
  <c r="N94" i="1" s="1"/>
  <c r="H94" i="1"/>
  <c r="AH93" i="1"/>
  <c r="AI93" i="1" s="1"/>
  <c r="AB93" i="1"/>
  <c r="Y93" i="1"/>
  <c r="Z93" i="1" s="1"/>
  <c r="T93" i="1"/>
  <c r="U93" i="1" s="1"/>
  <c r="P93" i="1"/>
  <c r="M93" i="1"/>
  <c r="N93" i="1" s="1"/>
  <c r="H93" i="1"/>
  <c r="AH92" i="1"/>
  <c r="AI92" i="1" s="1"/>
  <c r="AB92" i="1"/>
  <c r="Y92" i="1"/>
  <c r="Z92" i="1" s="1"/>
  <c r="T92" i="1"/>
  <c r="U92" i="1" s="1"/>
  <c r="P92" i="1"/>
  <c r="M92" i="1"/>
  <c r="N92" i="1" s="1"/>
  <c r="H92" i="1"/>
  <c r="AH91" i="1"/>
  <c r="AI91" i="1" s="1"/>
  <c r="AB91" i="1"/>
  <c r="Y91" i="1"/>
  <c r="Z91" i="1" s="1"/>
  <c r="T91" i="1"/>
  <c r="U91" i="1" s="1"/>
  <c r="P91" i="1"/>
  <c r="M91" i="1"/>
  <c r="N91" i="1" s="1"/>
  <c r="H91" i="1"/>
  <c r="AH90" i="1"/>
  <c r="AI90" i="1" s="1"/>
  <c r="AB90" i="1"/>
  <c r="Y90" i="1"/>
  <c r="Z90" i="1" s="1"/>
  <c r="T90" i="1"/>
  <c r="U90" i="1" s="1"/>
  <c r="P90" i="1"/>
  <c r="M90" i="1"/>
  <c r="N90" i="1" s="1"/>
  <c r="H90" i="1"/>
  <c r="AH89" i="1"/>
  <c r="AI89" i="1" s="1"/>
  <c r="AB89" i="1"/>
  <c r="Y89" i="1"/>
  <c r="Z89" i="1" s="1"/>
  <c r="T89" i="1"/>
  <c r="U89" i="1" s="1"/>
  <c r="P89" i="1"/>
  <c r="M89" i="1"/>
  <c r="N89" i="1" s="1"/>
  <c r="H89" i="1"/>
  <c r="AH88" i="1"/>
  <c r="AI88" i="1" s="1"/>
  <c r="AB88" i="1"/>
  <c r="Y88" i="1"/>
  <c r="Z88" i="1" s="1"/>
  <c r="T88" i="1"/>
  <c r="U88" i="1" s="1"/>
  <c r="P88" i="1"/>
  <c r="M88" i="1"/>
  <c r="N88" i="1" s="1"/>
  <c r="H88" i="1"/>
  <c r="AH87" i="1"/>
  <c r="AI87" i="1" s="1"/>
  <c r="AB87" i="1"/>
  <c r="Y87" i="1"/>
  <c r="Z87" i="1" s="1"/>
  <c r="T87" i="1"/>
  <c r="U87" i="1" s="1"/>
  <c r="P87" i="1"/>
  <c r="M87" i="1"/>
  <c r="N87" i="1" s="1"/>
  <c r="H87" i="1"/>
  <c r="AH86" i="1"/>
  <c r="AI86" i="1" s="1"/>
  <c r="AB86" i="1"/>
  <c r="Y86" i="1"/>
  <c r="Z86" i="1" s="1"/>
  <c r="T86" i="1"/>
  <c r="U86" i="1" s="1"/>
  <c r="P86" i="1"/>
  <c r="M86" i="1"/>
  <c r="N86" i="1" s="1"/>
  <c r="H86" i="1"/>
  <c r="AH85" i="1"/>
  <c r="AI85" i="1" s="1"/>
  <c r="AB85" i="1"/>
  <c r="Y85" i="1"/>
  <c r="Z85" i="1" s="1"/>
  <c r="T85" i="1"/>
  <c r="U85" i="1" s="1"/>
  <c r="P85" i="1"/>
  <c r="M85" i="1"/>
  <c r="N85" i="1" s="1"/>
  <c r="H85" i="1"/>
  <c r="AH84" i="1"/>
  <c r="AI84" i="1" s="1"/>
  <c r="AB84" i="1"/>
  <c r="Y84" i="1"/>
  <c r="Z84" i="1" s="1"/>
  <c r="T84" i="1"/>
  <c r="U84" i="1" s="1"/>
  <c r="P84" i="1"/>
  <c r="M84" i="1"/>
  <c r="N84" i="1" s="1"/>
  <c r="H84" i="1"/>
  <c r="AH83" i="1"/>
  <c r="AI83" i="1" s="1"/>
  <c r="AB83" i="1"/>
  <c r="Y83" i="1"/>
  <c r="Z83" i="1" s="1"/>
  <c r="T83" i="1"/>
  <c r="U83" i="1" s="1"/>
  <c r="P83" i="1"/>
  <c r="M83" i="1"/>
  <c r="N83" i="1" s="1"/>
  <c r="H83" i="1"/>
  <c r="AH82" i="1"/>
  <c r="AI82" i="1" s="1"/>
  <c r="AB82" i="1"/>
  <c r="Y82" i="1"/>
  <c r="Z82" i="1" s="1"/>
  <c r="T82" i="1"/>
  <c r="U82" i="1" s="1"/>
  <c r="P82" i="1"/>
  <c r="M82" i="1"/>
  <c r="N82" i="1" s="1"/>
  <c r="H82" i="1"/>
  <c r="AH81" i="1"/>
  <c r="AI81" i="1" s="1"/>
  <c r="AB81" i="1"/>
  <c r="Y81" i="1"/>
  <c r="Z81" i="1" s="1"/>
  <c r="T81" i="1"/>
  <c r="U81" i="1" s="1"/>
  <c r="P81" i="1"/>
  <c r="M81" i="1"/>
  <c r="N81" i="1" s="1"/>
  <c r="H81" i="1"/>
  <c r="AH80" i="1"/>
  <c r="AI80" i="1" s="1"/>
  <c r="AB80" i="1"/>
  <c r="Y80" i="1"/>
  <c r="Z80" i="1" s="1"/>
  <c r="T80" i="1"/>
  <c r="U80" i="1" s="1"/>
  <c r="P80" i="1"/>
  <c r="M80" i="1"/>
  <c r="N80" i="1" s="1"/>
  <c r="H80" i="1"/>
  <c r="AH79" i="1"/>
  <c r="AI79" i="1" s="1"/>
  <c r="AB79" i="1"/>
  <c r="Y79" i="1"/>
  <c r="Z79" i="1" s="1"/>
  <c r="T79" i="1"/>
  <c r="U79" i="1" s="1"/>
  <c r="P79" i="1"/>
  <c r="M79" i="1"/>
  <c r="N79" i="1" s="1"/>
  <c r="H79" i="1"/>
  <c r="AH78" i="1"/>
  <c r="AI78" i="1" s="1"/>
  <c r="AB78" i="1"/>
  <c r="Y78" i="1"/>
  <c r="Z78" i="1" s="1"/>
  <c r="T78" i="1"/>
  <c r="U78" i="1" s="1"/>
  <c r="P78" i="1"/>
  <c r="M78" i="1"/>
  <c r="N78" i="1" s="1"/>
  <c r="H78" i="1"/>
  <c r="AH77" i="1"/>
  <c r="AI77" i="1" s="1"/>
  <c r="AB77" i="1"/>
  <c r="Y77" i="1"/>
  <c r="Z77" i="1" s="1"/>
  <c r="T77" i="1"/>
  <c r="U77" i="1" s="1"/>
  <c r="P77" i="1"/>
  <c r="M77" i="1"/>
  <c r="N77" i="1" s="1"/>
  <c r="H77" i="1"/>
  <c r="AH76" i="1"/>
  <c r="AI76" i="1" s="1"/>
  <c r="AB76" i="1"/>
  <c r="Y76" i="1"/>
  <c r="Z76" i="1" s="1"/>
  <c r="T76" i="1"/>
  <c r="U76" i="1" s="1"/>
  <c r="P76" i="1"/>
  <c r="M76" i="1"/>
  <c r="N76" i="1" s="1"/>
  <c r="H76" i="1"/>
  <c r="AH75" i="1"/>
  <c r="AI75" i="1" s="1"/>
  <c r="AB75" i="1"/>
  <c r="Y75" i="1"/>
  <c r="Z75" i="1" s="1"/>
  <c r="T75" i="1"/>
  <c r="U75" i="1" s="1"/>
  <c r="P75" i="1"/>
  <c r="M75" i="1"/>
  <c r="N75" i="1" s="1"/>
  <c r="H75" i="1"/>
  <c r="AH74" i="1"/>
  <c r="AI74" i="1" s="1"/>
  <c r="AB74" i="1"/>
  <c r="Y74" i="1"/>
  <c r="Z74" i="1" s="1"/>
  <c r="T74" i="1"/>
  <c r="U74" i="1" s="1"/>
  <c r="P74" i="1"/>
  <c r="M74" i="1"/>
  <c r="N74" i="1" s="1"/>
  <c r="H74" i="1"/>
  <c r="AH73" i="1"/>
  <c r="AI73" i="1" s="1"/>
  <c r="AB73" i="1"/>
  <c r="Y73" i="1"/>
  <c r="Z73" i="1" s="1"/>
  <c r="T73" i="1"/>
  <c r="U73" i="1" s="1"/>
  <c r="P73" i="1"/>
  <c r="M73" i="1"/>
  <c r="N73" i="1" s="1"/>
  <c r="H73" i="1"/>
  <c r="AH72" i="1"/>
  <c r="AI72" i="1" s="1"/>
  <c r="AB72" i="1"/>
  <c r="Y72" i="1"/>
  <c r="Z72" i="1" s="1"/>
  <c r="T72" i="1"/>
  <c r="U72" i="1" s="1"/>
  <c r="P72" i="1"/>
  <c r="M72" i="1"/>
  <c r="N72" i="1" s="1"/>
  <c r="H72" i="1"/>
  <c r="AH71" i="1"/>
  <c r="AI71" i="1" s="1"/>
  <c r="AB71" i="1"/>
  <c r="Y71" i="1"/>
  <c r="Z71" i="1" s="1"/>
  <c r="T71" i="1"/>
  <c r="U71" i="1" s="1"/>
  <c r="P71" i="1"/>
  <c r="M71" i="1"/>
  <c r="N71" i="1" s="1"/>
  <c r="H71" i="1"/>
  <c r="AH70" i="1"/>
  <c r="AI70" i="1" s="1"/>
  <c r="AB70" i="1"/>
  <c r="Y70" i="1"/>
  <c r="Z70" i="1" s="1"/>
  <c r="T70" i="1"/>
  <c r="U70" i="1" s="1"/>
  <c r="P70" i="1"/>
  <c r="M70" i="1"/>
  <c r="N70" i="1" s="1"/>
  <c r="H70" i="1"/>
  <c r="AH69" i="1"/>
  <c r="AI69" i="1" s="1"/>
  <c r="AB69" i="1"/>
  <c r="Y69" i="1"/>
  <c r="Z69" i="1" s="1"/>
  <c r="T69" i="1"/>
  <c r="U69" i="1" s="1"/>
  <c r="P69" i="1"/>
  <c r="M69" i="1"/>
  <c r="N69" i="1" s="1"/>
  <c r="H69" i="1"/>
  <c r="AH68" i="1"/>
  <c r="AI68" i="1" s="1"/>
  <c r="AB68" i="1"/>
  <c r="Y68" i="1"/>
  <c r="Z68" i="1" s="1"/>
  <c r="T68" i="1"/>
  <c r="U68" i="1" s="1"/>
  <c r="P68" i="1"/>
  <c r="M68" i="1"/>
  <c r="N68" i="1" s="1"/>
  <c r="H68" i="1"/>
  <c r="AH67" i="1"/>
  <c r="AI67" i="1" s="1"/>
  <c r="AB67" i="1"/>
  <c r="Y67" i="1"/>
  <c r="Z67" i="1" s="1"/>
  <c r="T67" i="1"/>
  <c r="U67" i="1" s="1"/>
  <c r="P67" i="1"/>
  <c r="M67" i="1"/>
  <c r="N67" i="1" s="1"/>
  <c r="H67" i="1"/>
  <c r="AH66" i="1"/>
  <c r="AI66" i="1" s="1"/>
  <c r="AB66" i="1"/>
  <c r="Y66" i="1"/>
  <c r="Z66" i="1" s="1"/>
  <c r="T66" i="1"/>
  <c r="U66" i="1" s="1"/>
  <c r="P66" i="1"/>
  <c r="M66" i="1"/>
  <c r="N66" i="1" s="1"/>
  <c r="H66" i="1"/>
  <c r="AH65" i="1"/>
  <c r="AI65" i="1" s="1"/>
  <c r="AB65" i="1"/>
  <c r="Y65" i="1"/>
  <c r="Z65" i="1" s="1"/>
  <c r="T65" i="1"/>
  <c r="U65" i="1" s="1"/>
  <c r="P65" i="1"/>
  <c r="M65" i="1"/>
  <c r="N65" i="1" s="1"/>
  <c r="H65" i="1"/>
  <c r="AH64" i="1"/>
  <c r="AI64" i="1" s="1"/>
  <c r="AB64" i="1"/>
  <c r="Y64" i="1"/>
  <c r="Z64" i="1" s="1"/>
  <c r="T64" i="1"/>
  <c r="U64" i="1" s="1"/>
  <c r="P64" i="1"/>
  <c r="M64" i="1"/>
  <c r="N64" i="1" s="1"/>
  <c r="H64" i="1"/>
  <c r="AH63" i="1"/>
  <c r="AI63" i="1" s="1"/>
  <c r="AB63" i="1"/>
  <c r="Y63" i="1"/>
  <c r="Z63" i="1" s="1"/>
  <c r="T63" i="1"/>
  <c r="U63" i="1" s="1"/>
  <c r="P63" i="1"/>
  <c r="M63" i="1"/>
  <c r="N63" i="1" s="1"/>
  <c r="H63" i="1"/>
  <c r="AH62" i="1"/>
  <c r="AI62" i="1" s="1"/>
  <c r="AB62" i="1"/>
  <c r="Y62" i="1"/>
  <c r="Z62" i="1" s="1"/>
  <c r="T62" i="1"/>
  <c r="U62" i="1" s="1"/>
  <c r="P62" i="1"/>
  <c r="M62" i="1"/>
  <c r="N62" i="1" s="1"/>
  <c r="H62" i="1"/>
  <c r="AH61" i="1"/>
  <c r="AI61" i="1" s="1"/>
  <c r="AB61" i="1"/>
  <c r="Y61" i="1"/>
  <c r="Z61" i="1" s="1"/>
  <c r="T61" i="1"/>
  <c r="U61" i="1" s="1"/>
  <c r="P61" i="1"/>
  <c r="M61" i="1"/>
  <c r="N61" i="1" s="1"/>
  <c r="H61" i="1"/>
  <c r="AH60" i="1"/>
  <c r="AI60" i="1" s="1"/>
  <c r="AB60" i="1"/>
  <c r="Y60" i="1"/>
  <c r="Z60" i="1" s="1"/>
  <c r="T60" i="1"/>
  <c r="U60" i="1" s="1"/>
  <c r="P60" i="1"/>
  <c r="M60" i="1"/>
  <c r="N60" i="1" s="1"/>
  <c r="H60" i="1"/>
  <c r="AH59" i="1"/>
  <c r="AI59" i="1" s="1"/>
  <c r="AB59" i="1"/>
  <c r="Y59" i="1"/>
  <c r="Z59" i="1" s="1"/>
  <c r="T59" i="1"/>
  <c r="U59" i="1" s="1"/>
  <c r="P59" i="1"/>
  <c r="M59" i="1"/>
  <c r="N59" i="1" s="1"/>
  <c r="H59" i="1"/>
  <c r="AH58" i="1"/>
  <c r="AI58" i="1" s="1"/>
  <c r="AB58" i="1"/>
  <c r="Y58" i="1"/>
  <c r="Z58" i="1" s="1"/>
  <c r="T58" i="1"/>
  <c r="U58" i="1" s="1"/>
  <c r="P58" i="1"/>
  <c r="M58" i="1"/>
  <c r="N58" i="1" s="1"/>
  <c r="H58" i="1"/>
  <c r="AH57" i="1"/>
  <c r="AI57" i="1" s="1"/>
  <c r="AB57" i="1"/>
  <c r="Y57" i="1"/>
  <c r="Z57" i="1" s="1"/>
  <c r="T57" i="1"/>
  <c r="U57" i="1" s="1"/>
  <c r="P57" i="1"/>
  <c r="M57" i="1"/>
  <c r="N57" i="1" s="1"/>
  <c r="H57" i="1"/>
  <c r="AH56" i="1"/>
  <c r="AI56" i="1" s="1"/>
  <c r="AB56" i="1"/>
  <c r="Y56" i="1"/>
  <c r="Z56" i="1" s="1"/>
  <c r="T56" i="1"/>
  <c r="U56" i="1" s="1"/>
  <c r="P56" i="1"/>
  <c r="M56" i="1"/>
  <c r="N56" i="1" s="1"/>
  <c r="H56" i="1"/>
  <c r="AH55" i="1"/>
  <c r="AI55" i="1" s="1"/>
  <c r="AB55" i="1"/>
  <c r="Y55" i="1"/>
  <c r="Z55" i="1" s="1"/>
  <c r="T55" i="1"/>
  <c r="U55" i="1" s="1"/>
  <c r="P55" i="1"/>
  <c r="M55" i="1"/>
  <c r="N55" i="1" s="1"/>
  <c r="H55" i="1"/>
  <c r="AH54" i="1"/>
  <c r="AI54" i="1" s="1"/>
  <c r="AB54" i="1"/>
  <c r="Y54" i="1"/>
  <c r="Z54" i="1" s="1"/>
  <c r="T54" i="1"/>
  <c r="U54" i="1" s="1"/>
  <c r="P54" i="1"/>
  <c r="M54" i="1"/>
  <c r="N54" i="1" s="1"/>
  <c r="H54" i="1"/>
  <c r="AH53" i="1"/>
  <c r="AI53" i="1" s="1"/>
  <c r="AB53" i="1"/>
  <c r="Y53" i="1"/>
  <c r="Z53" i="1" s="1"/>
  <c r="T53" i="1"/>
  <c r="U53" i="1" s="1"/>
  <c r="P53" i="1"/>
  <c r="M53" i="1"/>
  <c r="N53" i="1" s="1"/>
  <c r="H53" i="1"/>
  <c r="AH52" i="1"/>
  <c r="AI52" i="1" s="1"/>
  <c r="AB52" i="1"/>
  <c r="Y52" i="1"/>
  <c r="Z52" i="1" s="1"/>
  <c r="T52" i="1"/>
  <c r="U52" i="1" s="1"/>
  <c r="P52" i="1"/>
  <c r="M52" i="1"/>
  <c r="N52" i="1" s="1"/>
  <c r="H52" i="1"/>
  <c r="AH51" i="1"/>
  <c r="AI51" i="1" s="1"/>
  <c r="AB51" i="1"/>
  <c r="Y51" i="1"/>
  <c r="Z51" i="1" s="1"/>
  <c r="T51" i="1"/>
  <c r="U51" i="1" s="1"/>
  <c r="P51" i="1"/>
  <c r="M51" i="1"/>
  <c r="N51" i="1" s="1"/>
  <c r="H51" i="1"/>
  <c r="AH50" i="1"/>
  <c r="AI50" i="1" s="1"/>
  <c r="AB50" i="1"/>
  <c r="Y50" i="1"/>
  <c r="Z50" i="1" s="1"/>
  <c r="T50" i="1"/>
  <c r="U50" i="1" s="1"/>
  <c r="P50" i="1"/>
  <c r="M50" i="1"/>
  <c r="N50" i="1" s="1"/>
  <c r="H50" i="1"/>
  <c r="AH49" i="1"/>
  <c r="AI49" i="1" s="1"/>
  <c r="AB49" i="1"/>
  <c r="Y49" i="1"/>
  <c r="Z49" i="1" s="1"/>
  <c r="T49" i="1"/>
  <c r="U49" i="1" s="1"/>
  <c r="P49" i="1"/>
  <c r="M49" i="1"/>
  <c r="N49" i="1" s="1"/>
  <c r="H49" i="1"/>
  <c r="AH48" i="1"/>
  <c r="AI48" i="1" s="1"/>
  <c r="AB48" i="1"/>
  <c r="Y48" i="1"/>
  <c r="Z48" i="1" s="1"/>
  <c r="T48" i="1"/>
  <c r="U48" i="1" s="1"/>
  <c r="P48" i="1"/>
  <c r="M48" i="1"/>
  <c r="N48" i="1" s="1"/>
  <c r="H48" i="1"/>
  <c r="AH47" i="1"/>
  <c r="AI47" i="1" s="1"/>
  <c r="AB47" i="1"/>
  <c r="Y47" i="1"/>
  <c r="Z47" i="1" s="1"/>
  <c r="T47" i="1"/>
  <c r="U47" i="1" s="1"/>
  <c r="P47" i="1"/>
  <c r="M47" i="1"/>
  <c r="N47" i="1" s="1"/>
  <c r="H47" i="1"/>
  <c r="AH46" i="1"/>
  <c r="AI46" i="1" s="1"/>
  <c r="AB46" i="1"/>
  <c r="Y46" i="1"/>
  <c r="Z46" i="1" s="1"/>
  <c r="T46" i="1"/>
  <c r="U46" i="1" s="1"/>
  <c r="P46" i="1"/>
  <c r="M46" i="1"/>
  <c r="N46" i="1" s="1"/>
  <c r="H46" i="1"/>
  <c r="AH45" i="1"/>
  <c r="AI45" i="1" s="1"/>
  <c r="AB45" i="1"/>
  <c r="Y45" i="1"/>
  <c r="Z45" i="1" s="1"/>
  <c r="T45" i="1"/>
  <c r="U45" i="1" s="1"/>
  <c r="P45" i="1"/>
  <c r="M45" i="1"/>
  <c r="N45" i="1" s="1"/>
  <c r="H45" i="1"/>
  <c r="AH44" i="1"/>
  <c r="AI44" i="1" s="1"/>
  <c r="AB44" i="1"/>
  <c r="Y44" i="1"/>
  <c r="Z44" i="1" s="1"/>
  <c r="T44" i="1"/>
  <c r="U44" i="1" s="1"/>
  <c r="P44" i="1"/>
  <c r="M44" i="1"/>
  <c r="N44" i="1" s="1"/>
  <c r="H44" i="1"/>
  <c r="AH43" i="1"/>
  <c r="AI43" i="1" s="1"/>
  <c r="AB43" i="1"/>
  <c r="Y43" i="1"/>
  <c r="Z43" i="1" s="1"/>
  <c r="T43" i="1"/>
  <c r="U43" i="1" s="1"/>
  <c r="P43" i="1"/>
  <c r="M43" i="1"/>
  <c r="N43" i="1" s="1"/>
  <c r="H43" i="1"/>
  <c r="AH42" i="1"/>
  <c r="AI42" i="1" s="1"/>
  <c r="AB42" i="1"/>
  <c r="Y42" i="1"/>
  <c r="Z42" i="1" s="1"/>
  <c r="T42" i="1"/>
  <c r="U42" i="1" s="1"/>
  <c r="P42" i="1"/>
  <c r="M42" i="1"/>
  <c r="N42" i="1" s="1"/>
  <c r="H42" i="1"/>
  <c r="AH41" i="1"/>
  <c r="AI41" i="1" s="1"/>
  <c r="AB41" i="1"/>
  <c r="Y41" i="1"/>
  <c r="Z41" i="1" s="1"/>
  <c r="T41" i="1"/>
  <c r="U41" i="1" s="1"/>
  <c r="P41" i="1"/>
  <c r="M41" i="1"/>
  <c r="N41" i="1" s="1"/>
  <c r="H41" i="1"/>
  <c r="AH40" i="1"/>
  <c r="AI40" i="1" s="1"/>
  <c r="AB40" i="1"/>
  <c r="Y40" i="1"/>
  <c r="Z40" i="1" s="1"/>
  <c r="T40" i="1"/>
  <c r="U40" i="1" s="1"/>
  <c r="P40" i="1"/>
  <c r="M40" i="1"/>
  <c r="N40" i="1" s="1"/>
  <c r="H40" i="1"/>
  <c r="AH39" i="1"/>
  <c r="AI39" i="1" s="1"/>
  <c r="AB39" i="1"/>
  <c r="Y39" i="1"/>
  <c r="Z39" i="1" s="1"/>
  <c r="T39" i="1"/>
  <c r="U39" i="1" s="1"/>
  <c r="P39" i="1"/>
  <c r="M39" i="1"/>
  <c r="N39" i="1" s="1"/>
  <c r="H39" i="1"/>
  <c r="AH38" i="1"/>
  <c r="AI38" i="1" s="1"/>
  <c r="AB38" i="1"/>
  <c r="Y38" i="1"/>
  <c r="Z38" i="1" s="1"/>
  <c r="T38" i="1"/>
  <c r="U38" i="1" s="1"/>
  <c r="P38" i="1"/>
  <c r="M38" i="1"/>
  <c r="N38" i="1" s="1"/>
  <c r="H38" i="1"/>
  <c r="AH37" i="1"/>
  <c r="AI37" i="1" s="1"/>
  <c r="AB37" i="1"/>
  <c r="Y37" i="1"/>
  <c r="Z37" i="1" s="1"/>
  <c r="T37" i="1"/>
  <c r="U37" i="1" s="1"/>
  <c r="P37" i="1"/>
  <c r="M37" i="1"/>
  <c r="N37" i="1" s="1"/>
  <c r="H37" i="1"/>
  <c r="AH36" i="1"/>
  <c r="AI36" i="1" s="1"/>
  <c r="AB36" i="1"/>
  <c r="Y36" i="1"/>
  <c r="Z36" i="1" s="1"/>
  <c r="T36" i="1"/>
  <c r="U36" i="1" s="1"/>
  <c r="P36" i="1"/>
  <c r="M36" i="1"/>
  <c r="N36" i="1" s="1"/>
  <c r="H36" i="1"/>
  <c r="AH35" i="1"/>
  <c r="AI35" i="1" s="1"/>
  <c r="AB35" i="1"/>
  <c r="Y35" i="1"/>
  <c r="Z35" i="1" s="1"/>
  <c r="T35" i="1"/>
  <c r="U35" i="1" s="1"/>
  <c r="P35" i="1"/>
  <c r="M35" i="1"/>
  <c r="N35" i="1" s="1"/>
  <c r="H35" i="1"/>
  <c r="AH34" i="1"/>
  <c r="AI34" i="1" s="1"/>
  <c r="AB34" i="1"/>
  <c r="Y34" i="1"/>
  <c r="Z34" i="1" s="1"/>
  <c r="T34" i="1"/>
  <c r="U34" i="1" s="1"/>
  <c r="P34" i="1"/>
  <c r="M34" i="1"/>
  <c r="N34" i="1" s="1"/>
  <c r="H34" i="1"/>
  <c r="AH33" i="1"/>
  <c r="AI33" i="1" s="1"/>
  <c r="AB33" i="1"/>
  <c r="Y33" i="1"/>
  <c r="Z33" i="1" s="1"/>
  <c r="T33" i="1"/>
  <c r="U33" i="1" s="1"/>
  <c r="P33" i="1"/>
  <c r="M33" i="1"/>
  <c r="N33" i="1" s="1"/>
  <c r="H33" i="1"/>
  <c r="AH32" i="1"/>
  <c r="AI32" i="1" s="1"/>
  <c r="AB32" i="1"/>
  <c r="Y32" i="1"/>
  <c r="Z32" i="1" s="1"/>
  <c r="T32" i="1"/>
  <c r="U32" i="1" s="1"/>
  <c r="P32" i="1"/>
  <c r="M32" i="1"/>
  <c r="N32" i="1" s="1"/>
  <c r="H32" i="1"/>
  <c r="AH31" i="1"/>
  <c r="AI31" i="1" s="1"/>
  <c r="AB31" i="1"/>
  <c r="Y31" i="1"/>
  <c r="Z31" i="1" s="1"/>
  <c r="T31" i="1"/>
  <c r="U31" i="1" s="1"/>
  <c r="P31" i="1"/>
  <c r="M31" i="1"/>
  <c r="N31" i="1" s="1"/>
  <c r="H31" i="1"/>
  <c r="AH30" i="1"/>
  <c r="AI30" i="1" s="1"/>
  <c r="AB30" i="1"/>
  <c r="Y30" i="1"/>
  <c r="Z30" i="1" s="1"/>
  <c r="T30" i="1"/>
  <c r="U30" i="1" s="1"/>
  <c r="P30" i="1"/>
  <c r="M30" i="1"/>
  <c r="N30" i="1" s="1"/>
  <c r="H30" i="1"/>
  <c r="AH29" i="1"/>
  <c r="AI29" i="1" s="1"/>
  <c r="AB29" i="1"/>
  <c r="Y29" i="1"/>
  <c r="Z29" i="1" s="1"/>
  <c r="T29" i="1"/>
  <c r="U29" i="1" s="1"/>
  <c r="P29" i="1"/>
  <c r="M29" i="1"/>
  <c r="N29" i="1" s="1"/>
  <c r="H29" i="1"/>
  <c r="AH28" i="1"/>
  <c r="AI28" i="1" s="1"/>
  <c r="AB28" i="1"/>
  <c r="Y28" i="1"/>
  <c r="Z28" i="1" s="1"/>
  <c r="T28" i="1"/>
  <c r="U28" i="1" s="1"/>
  <c r="P28" i="1"/>
  <c r="M28" i="1"/>
  <c r="N28" i="1" s="1"/>
  <c r="H28" i="1"/>
  <c r="AH27" i="1"/>
  <c r="AI27" i="1" s="1"/>
  <c r="AB27" i="1"/>
  <c r="Y27" i="1"/>
  <c r="Z27" i="1" s="1"/>
  <c r="T27" i="1"/>
  <c r="U27" i="1" s="1"/>
  <c r="P27" i="1"/>
  <c r="M27" i="1"/>
  <c r="N27" i="1" s="1"/>
  <c r="H27" i="1"/>
  <c r="AH26" i="1"/>
  <c r="AI26" i="1" s="1"/>
  <c r="AB26" i="1"/>
  <c r="Y26" i="1"/>
  <c r="Z26" i="1" s="1"/>
  <c r="T26" i="1"/>
  <c r="U26" i="1" s="1"/>
  <c r="P26" i="1"/>
  <c r="M26" i="1"/>
  <c r="N26" i="1" s="1"/>
  <c r="H26" i="1"/>
  <c r="AH25" i="1"/>
  <c r="AI25" i="1" s="1"/>
  <c r="AB25" i="1"/>
  <c r="Y25" i="1"/>
  <c r="Z25" i="1" s="1"/>
  <c r="T25" i="1"/>
  <c r="U25" i="1" s="1"/>
  <c r="P25" i="1"/>
  <c r="M25" i="1"/>
  <c r="N25" i="1" s="1"/>
  <c r="H25" i="1"/>
  <c r="AH24" i="1"/>
  <c r="AI24" i="1" s="1"/>
  <c r="AB24" i="1"/>
  <c r="Y24" i="1"/>
  <c r="Z24" i="1" s="1"/>
  <c r="T24" i="1"/>
  <c r="U24" i="1" s="1"/>
  <c r="P24" i="1"/>
  <c r="M24" i="1"/>
  <c r="N24" i="1" s="1"/>
  <c r="H24" i="1"/>
  <c r="AH23" i="1"/>
  <c r="AI23" i="1" s="1"/>
  <c r="AB23" i="1"/>
  <c r="Y23" i="1"/>
  <c r="Z23" i="1" s="1"/>
  <c r="T23" i="1"/>
  <c r="U23" i="1" s="1"/>
  <c r="P23" i="1"/>
  <c r="M23" i="1"/>
  <c r="N23" i="1" s="1"/>
  <c r="H23" i="1"/>
  <c r="AH22" i="1"/>
  <c r="AI22" i="1" s="1"/>
  <c r="AB22" i="1"/>
  <c r="Y22" i="1"/>
  <c r="Z22" i="1" s="1"/>
  <c r="T22" i="1"/>
  <c r="U22" i="1" s="1"/>
  <c r="P22" i="1"/>
  <c r="M22" i="1"/>
  <c r="N22" i="1" s="1"/>
  <c r="H22" i="1"/>
  <c r="AH21" i="1"/>
  <c r="AI21" i="1" s="1"/>
  <c r="AB21" i="1"/>
  <c r="Y21" i="1"/>
  <c r="Z21" i="1" s="1"/>
  <c r="T21" i="1"/>
  <c r="U21" i="1" s="1"/>
  <c r="P21" i="1"/>
  <c r="M21" i="1"/>
  <c r="N21" i="1" s="1"/>
  <c r="H21" i="1"/>
  <c r="AH20" i="1"/>
  <c r="AI20" i="1" s="1"/>
  <c r="AB20" i="1"/>
  <c r="Y20" i="1"/>
  <c r="Z20" i="1" s="1"/>
  <c r="T20" i="1"/>
  <c r="U20" i="1" s="1"/>
  <c r="P20" i="1"/>
  <c r="M20" i="1"/>
  <c r="N20" i="1" s="1"/>
  <c r="H20" i="1"/>
  <c r="AH19" i="1"/>
  <c r="AI19" i="1" s="1"/>
  <c r="AB19" i="1"/>
  <c r="Y19" i="1"/>
  <c r="Z19" i="1" s="1"/>
  <c r="T19" i="1"/>
  <c r="U19" i="1" s="1"/>
  <c r="P19" i="1"/>
  <c r="M19" i="1"/>
  <c r="N19" i="1" s="1"/>
  <c r="H19" i="1"/>
  <c r="AH18" i="1"/>
  <c r="AI18" i="1" s="1"/>
  <c r="AB18" i="1"/>
  <c r="Y18" i="1"/>
  <c r="Z18" i="1" s="1"/>
  <c r="T18" i="1"/>
  <c r="U18" i="1" s="1"/>
  <c r="P18" i="1"/>
  <c r="M18" i="1"/>
  <c r="N18" i="1" s="1"/>
  <c r="H18" i="1"/>
  <c r="AH17" i="1"/>
  <c r="AI17" i="1" s="1"/>
  <c r="AB17" i="1"/>
  <c r="Y17" i="1"/>
  <c r="Z17" i="1" s="1"/>
  <c r="T17" i="1"/>
  <c r="U17" i="1" s="1"/>
  <c r="P17" i="1"/>
  <c r="M17" i="1"/>
  <c r="N17" i="1" s="1"/>
  <c r="H17" i="1"/>
  <c r="AH16" i="1"/>
  <c r="AI16" i="1" s="1"/>
  <c r="AB16" i="1"/>
  <c r="Y16" i="1"/>
  <c r="Z16" i="1" s="1"/>
  <c r="T16" i="1"/>
  <c r="U16" i="1" s="1"/>
  <c r="P16" i="1"/>
  <c r="M16" i="1"/>
  <c r="N16" i="1" s="1"/>
  <c r="H16" i="1"/>
  <c r="AH15" i="1"/>
  <c r="AI15" i="1" s="1"/>
  <c r="AB15" i="1"/>
  <c r="Y15" i="1"/>
  <c r="Z15" i="1" s="1"/>
  <c r="T15" i="1"/>
  <c r="U15" i="1" s="1"/>
  <c r="P15" i="1"/>
  <c r="M15" i="1"/>
  <c r="N15" i="1" s="1"/>
  <c r="H15" i="1"/>
  <c r="AH14" i="1"/>
  <c r="AI14" i="1" s="1"/>
  <c r="AB14" i="1"/>
  <c r="Y14" i="1"/>
  <c r="Z14" i="1" s="1"/>
  <c r="T14" i="1"/>
  <c r="U14" i="1" s="1"/>
  <c r="P14" i="1"/>
  <c r="M14" i="1"/>
  <c r="N14" i="1" s="1"/>
  <c r="H14" i="1"/>
  <c r="AH13" i="1"/>
  <c r="AI13" i="1" s="1"/>
  <c r="AB13" i="1"/>
  <c r="Y13" i="1"/>
  <c r="Z13" i="1" s="1"/>
  <c r="T13" i="1"/>
  <c r="U13" i="1" s="1"/>
  <c r="P13" i="1"/>
  <c r="M13" i="1"/>
  <c r="N13" i="1" s="1"/>
  <c r="H13" i="1"/>
  <c r="AH12" i="1"/>
  <c r="AI12" i="1" s="1"/>
  <c r="AB12" i="1"/>
  <c r="Y12" i="1"/>
  <c r="Z12" i="1" s="1"/>
  <c r="T12" i="1"/>
  <c r="U12" i="1" s="1"/>
  <c r="P12" i="1"/>
  <c r="M12" i="1"/>
  <c r="N12" i="1" s="1"/>
  <c r="H12" i="1"/>
  <c r="AH11" i="1"/>
  <c r="AI11" i="1" s="1"/>
  <c r="AB11" i="1"/>
  <c r="Y11" i="1"/>
  <c r="Z11" i="1" s="1"/>
  <c r="T11" i="1"/>
  <c r="U11" i="1" s="1"/>
  <c r="P11" i="1"/>
  <c r="M11" i="1"/>
  <c r="N11" i="1" s="1"/>
  <c r="H11" i="1"/>
  <c r="AH10" i="1"/>
  <c r="AI10" i="1" s="1"/>
  <c r="AB10" i="1"/>
  <c r="Y10" i="1"/>
  <c r="Z10" i="1" s="1"/>
  <c r="T10" i="1"/>
  <c r="U10" i="1" s="1"/>
  <c r="P10" i="1"/>
  <c r="M10" i="1"/>
  <c r="N10" i="1" s="1"/>
  <c r="H10" i="1"/>
  <c r="AH9" i="1"/>
  <c r="AI9" i="1" s="1"/>
  <c r="AB9" i="1"/>
  <c r="Y9" i="1"/>
  <c r="Z9" i="1" s="1"/>
  <c r="T9" i="1"/>
  <c r="U9" i="1" s="1"/>
  <c r="P9" i="1"/>
  <c r="M9" i="1"/>
  <c r="N9" i="1" s="1"/>
  <c r="H9" i="1"/>
  <c r="AH8" i="1"/>
  <c r="AI8" i="1" s="1"/>
  <c r="AB8" i="1"/>
  <c r="Y8" i="1"/>
  <c r="Z8" i="1" s="1"/>
  <c r="T8" i="1"/>
  <c r="U8" i="1" s="1"/>
  <c r="P8" i="1"/>
  <c r="M8" i="1"/>
  <c r="N8" i="1" s="1"/>
  <c r="H8" i="1"/>
  <c r="AH7" i="1"/>
  <c r="AI7" i="1" s="1"/>
  <c r="AB7" i="1"/>
  <c r="Y7" i="1"/>
  <c r="Z7" i="1" s="1"/>
  <c r="T7" i="1"/>
  <c r="U7" i="1" s="1"/>
  <c r="P7" i="1"/>
  <c r="M7" i="1"/>
  <c r="N7" i="1" s="1"/>
  <c r="H7" i="1"/>
  <c r="AH6" i="1"/>
  <c r="AI6" i="1" s="1"/>
  <c r="AB6" i="1"/>
  <c r="Y6" i="1"/>
  <c r="Z6" i="1" s="1"/>
  <c r="T6" i="1"/>
  <c r="U6" i="1" s="1"/>
  <c r="P6" i="1"/>
  <c r="M6" i="1"/>
  <c r="N6" i="1" s="1"/>
  <c r="H6" i="1"/>
  <c r="AH5" i="1"/>
  <c r="AI5" i="1" s="1"/>
  <c r="AB5" i="1"/>
  <c r="Y5" i="1"/>
  <c r="Z5" i="1" s="1"/>
  <c r="T5" i="1"/>
  <c r="U5" i="1" s="1"/>
  <c r="P5" i="1"/>
  <c r="M5" i="1"/>
  <c r="N5" i="1" s="1"/>
  <c r="H5" i="1"/>
  <c r="AH4" i="1"/>
  <c r="AI4" i="1" s="1"/>
  <c r="AB4" i="1"/>
  <c r="Y4" i="1"/>
  <c r="Z4" i="1" s="1"/>
  <c r="T4" i="1"/>
  <c r="U4" i="1" s="1"/>
  <c r="P4" i="1"/>
  <c r="M4" i="1"/>
  <c r="N4" i="1" s="1"/>
  <c r="H4" i="1"/>
  <c r="AH3" i="1"/>
  <c r="AI3" i="1" s="1"/>
  <c r="AB3" i="1"/>
  <c r="Y3" i="1"/>
  <c r="Z3" i="1" s="1"/>
  <c r="T3" i="1"/>
  <c r="U3" i="1" s="1"/>
  <c r="P3" i="1"/>
  <c r="M3" i="1"/>
  <c r="N3" i="1" s="1"/>
  <c r="H3" i="1"/>
  <c r="AH2" i="1"/>
  <c r="AI2" i="1" s="1"/>
  <c r="AB2" i="1"/>
  <c r="Y2" i="1"/>
  <c r="Z2" i="1" s="1"/>
  <c r="T2" i="1"/>
  <c r="U2" i="1" s="1"/>
  <c r="P2" i="1"/>
  <c r="M2" i="1"/>
  <c r="N2" i="1" s="1"/>
  <c r="H2" i="1"/>
  <c r="I118" i="1" l="1"/>
  <c r="I62" i="1"/>
  <c r="I78" i="1"/>
  <c r="I38" i="1"/>
  <c r="I69" i="1"/>
  <c r="AL56" i="1"/>
  <c r="I54" i="1"/>
  <c r="I4" i="1"/>
  <c r="I70" i="1"/>
  <c r="I20" i="1"/>
  <c r="AL4" i="1"/>
  <c r="I28" i="1"/>
  <c r="I46" i="1"/>
  <c r="AM141" i="1"/>
  <c r="AL42" i="1"/>
  <c r="I100" i="1"/>
  <c r="I76" i="1"/>
  <c r="I29" i="1"/>
  <c r="I92" i="1"/>
  <c r="I52" i="1"/>
  <c r="AL52" i="1"/>
  <c r="AL18" i="1"/>
  <c r="I77" i="1"/>
  <c r="I13" i="1"/>
  <c r="I45" i="1"/>
  <c r="AL45" i="1"/>
  <c r="AL10" i="1"/>
  <c r="AM91" i="1"/>
  <c r="AM35" i="1"/>
  <c r="AL41" i="1"/>
  <c r="AL115" i="1"/>
  <c r="AM83" i="1"/>
  <c r="AM51" i="1"/>
  <c r="AM106" i="1"/>
  <c r="AM74" i="1"/>
  <c r="AL92" i="1"/>
  <c r="I14" i="1"/>
  <c r="AL72" i="1"/>
  <c r="AL2" i="1"/>
  <c r="AL32" i="1"/>
  <c r="AM98" i="1"/>
  <c r="AL50" i="1"/>
  <c r="AL40" i="1"/>
  <c r="I42" i="1"/>
  <c r="AL48" i="1"/>
  <c r="AM52" i="1"/>
  <c r="AL57" i="1"/>
  <c r="AL60" i="1"/>
  <c r="I68" i="1"/>
  <c r="I22" i="1"/>
  <c r="AM28" i="1"/>
  <c r="AM50" i="1"/>
  <c r="AM68" i="1"/>
  <c r="AM84" i="1"/>
  <c r="AL44" i="1"/>
  <c r="AL7" i="1"/>
  <c r="I6" i="1"/>
  <c r="AM12" i="1"/>
  <c r="AL28" i="1"/>
  <c r="AL49" i="1"/>
  <c r="AL68" i="1"/>
  <c r="AM90" i="1"/>
  <c r="AM107" i="1"/>
  <c r="I86" i="1"/>
  <c r="I30" i="1"/>
  <c r="AM132" i="1"/>
  <c r="I60" i="1"/>
  <c r="AM44" i="1"/>
  <c r="AM115" i="1"/>
  <c r="AL82" i="1"/>
  <c r="AL12" i="1"/>
  <c r="AM20" i="1"/>
  <c r="AL26" i="1"/>
  <c r="AL33" i="1"/>
  <c r="I44" i="1"/>
  <c r="AL66" i="1"/>
  <c r="AL77" i="1"/>
  <c r="I12" i="1"/>
  <c r="AL34" i="1"/>
  <c r="AL16" i="1"/>
  <c r="AL25" i="1"/>
  <c r="I117" i="1"/>
  <c r="AM18" i="1"/>
  <c r="AM36" i="1"/>
  <c r="AM76" i="1"/>
  <c r="AM43" i="1"/>
  <c r="AL20" i="1"/>
  <c r="AL114" i="1"/>
  <c r="AL64" i="1"/>
  <c r="AM4" i="1"/>
  <c r="AM99" i="1"/>
  <c r="AM108" i="1"/>
  <c r="AM101" i="1"/>
  <c r="I101" i="1"/>
  <c r="AL101" i="1"/>
  <c r="AL9" i="1"/>
  <c r="AM21" i="1"/>
  <c r="AL21" i="1"/>
  <c r="I21" i="1"/>
  <c r="AL23" i="1"/>
  <c r="AM53" i="1"/>
  <c r="I53" i="1"/>
  <c r="AL53" i="1"/>
  <c r="AM85" i="1"/>
  <c r="I85" i="1"/>
  <c r="AL85" i="1"/>
  <c r="I63" i="1"/>
  <c r="AL63" i="1"/>
  <c r="AM63" i="1"/>
  <c r="I87" i="1"/>
  <c r="AL87" i="1"/>
  <c r="AM87" i="1"/>
  <c r="I55" i="1"/>
  <c r="AM55" i="1"/>
  <c r="AL55" i="1"/>
  <c r="I71" i="1"/>
  <c r="AM71" i="1"/>
  <c r="AL71" i="1"/>
  <c r="AM59" i="1"/>
  <c r="AM93" i="1"/>
  <c r="AL93" i="1"/>
  <c r="I93" i="1"/>
  <c r="AM37" i="1"/>
  <c r="I37" i="1"/>
  <c r="AL37" i="1"/>
  <c r="AM61" i="1"/>
  <c r="AL61" i="1"/>
  <c r="I61" i="1"/>
  <c r="AM19" i="1"/>
  <c r="I39" i="1"/>
  <c r="AM39" i="1"/>
  <c r="AL39" i="1"/>
  <c r="AM5" i="1"/>
  <c r="AL5" i="1"/>
  <c r="I5" i="1"/>
  <c r="AM3" i="1"/>
  <c r="AM75" i="1"/>
  <c r="I11" i="1"/>
  <c r="AL11" i="1"/>
  <c r="I27" i="1"/>
  <c r="AL27" i="1"/>
  <c r="I58" i="1"/>
  <c r="I67" i="1"/>
  <c r="AL67" i="1"/>
  <c r="Z123" i="1"/>
  <c r="I8" i="1"/>
  <c r="AM8" i="1"/>
  <c r="AL13" i="1"/>
  <c r="I24" i="1"/>
  <c r="AM24" i="1"/>
  <c r="AL29" i="1"/>
  <c r="I33" i="1"/>
  <c r="AM33" i="1"/>
  <c r="AM60" i="1"/>
  <c r="AM62" i="1"/>
  <c r="AL62" i="1"/>
  <c r="AL69" i="1"/>
  <c r="AL74" i="1"/>
  <c r="I111" i="1"/>
  <c r="AM111" i="1"/>
  <c r="AL111" i="1"/>
  <c r="I113" i="1"/>
  <c r="AM113" i="1"/>
  <c r="AL113" i="1"/>
  <c r="AB123" i="1"/>
  <c r="I17" i="1"/>
  <c r="AM17" i="1"/>
  <c r="I36" i="1"/>
  <c r="I64" i="1"/>
  <c r="AM64" i="1"/>
  <c r="I79" i="1"/>
  <c r="AL79" i="1"/>
  <c r="AM79" i="1"/>
  <c r="I81" i="1"/>
  <c r="AM81" i="1"/>
  <c r="AL81" i="1"/>
  <c r="I84" i="1"/>
  <c r="I108" i="1"/>
  <c r="I116" i="1"/>
  <c r="AL116" i="1"/>
  <c r="U123" i="1"/>
  <c r="I105" i="1"/>
  <c r="AM105" i="1"/>
  <c r="AL105" i="1"/>
  <c r="I10" i="1"/>
  <c r="I95" i="1"/>
  <c r="AM95" i="1"/>
  <c r="AL95" i="1"/>
  <c r="AM14" i="1"/>
  <c r="AL14" i="1"/>
  <c r="AM30" i="1"/>
  <c r="AL30" i="1"/>
  <c r="AM34" i="1"/>
  <c r="I51" i="1"/>
  <c r="AL51" i="1"/>
  <c r="AM70" i="1"/>
  <c r="AL70" i="1"/>
  <c r="AM82" i="1"/>
  <c r="I89" i="1"/>
  <c r="AM89" i="1"/>
  <c r="AL89" i="1"/>
  <c r="AM92" i="1"/>
  <c r="AL106" i="1"/>
  <c r="AL117" i="1"/>
  <c r="I15" i="1"/>
  <c r="AM15" i="1"/>
  <c r="I31" i="1"/>
  <c r="AL31" i="1"/>
  <c r="AM31" i="1"/>
  <c r="I97" i="1"/>
  <c r="AM97" i="1"/>
  <c r="AL97" i="1"/>
  <c r="AM2" i="1"/>
  <c r="I48" i="1"/>
  <c r="AM48" i="1"/>
  <c r="I57" i="1"/>
  <c r="AM57" i="1"/>
  <c r="I72" i="1"/>
  <c r="AM72" i="1"/>
  <c r="AL98" i="1"/>
  <c r="I115" i="1"/>
  <c r="AM46" i="1"/>
  <c r="AL46" i="1"/>
  <c r="AM119" i="1"/>
  <c r="AL119" i="1"/>
  <c r="I119" i="1"/>
  <c r="AI123" i="1"/>
  <c r="AM100" i="1"/>
  <c r="I7" i="1"/>
  <c r="AM7" i="1"/>
  <c r="AL15" i="1"/>
  <c r="I23" i="1"/>
  <c r="AM23" i="1"/>
  <c r="I35" i="1"/>
  <c r="AL35" i="1"/>
  <c r="AM45" i="1"/>
  <c r="I83" i="1"/>
  <c r="AL83" i="1"/>
  <c r="AL90" i="1"/>
  <c r="I40" i="1"/>
  <c r="AM40" i="1"/>
  <c r="I49" i="1"/>
  <c r="AM49" i="1"/>
  <c r="I73" i="1"/>
  <c r="AM73" i="1"/>
  <c r="AL73" i="1"/>
  <c r="I103" i="1"/>
  <c r="AM103" i="1"/>
  <c r="AL103" i="1"/>
  <c r="I121" i="1"/>
  <c r="AM121" i="1"/>
  <c r="AL121" i="1"/>
  <c r="I26" i="1"/>
  <c r="I66" i="1"/>
  <c r="I75" i="1"/>
  <c r="AL75" i="1"/>
  <c r="I3" i="1"/>
  <c r="AL3" i="1"/>
  <c r="AL8" i="1"/>
  <c r="I19" i="1"/>
  <c r="AL19" i="1"/>
  <c r="AL24" i="1"/>
  <c r="I32" i="1"/>
  <c r="AM32" i="1"/>
  <c r="I41" i="1"/>
  <c r="AM41" i="1"/>
  <c r="I74" i="1"/>
  <c r="AL76" i="1"/>
  <c r="I107" i="1"/>
  <c r="AL107" i="1"/>
  <c r="I16" i="1"/>
  <c r="AM16" i="1"/>
  <c r="AM27" i="1"/>
  <c r="AM29" i="1"/>
  <c r="I50" i="1"/>
  <c r="AL58" i="1"/>
  <c r="AM67" i="1"/>
  <c r="AM69" i="1"/>
  <c r="AM78" i="1"/>
  <c r="AL78" i="1"/>
  <c r="I99" i="1"/>
  <c r="AL99" i="1"/>
  <c r="AM110" i="1"/>
  <c r="AL110" i="1"/>
  <c r="I110" i="1"/>
  <c r="I112" i="1"/>
  <c r="AM112" i="1"/>
  <c r="AL112" i="1"/>
  <c r="AM118" i="1"/>
  <c r="AL118" i="1"/>
  <c r="I9" i="1"/>
  <c r="AM9" i="1"/>
  <c r="AL17" i="1"/>
  <c r="I25" i="1"/>
  <c r="AM25" i="1"/>
  <c r="AM54" i="1"/>
  <c r="AL54" i="1"/>
  <c r="AM58" i="1"/>
  <c r="I80" i="1"/>
  <c r="AM80" i="1"/>
  <c r="AL80" i="1"/>
  <c r="I91" i="1"/>
  <c r="AL91" i="1"/>
  <c r="AM116" i="1"/>
  <c r="AM11" i="1"/>
  <c r="I122" i="1"/>
  <c r="AM122" i="1"/>
  <c r="AL122" i="1"/>
  <c r="AM109" i="1"/>
  <c r="AL109" i="1"/>
  <c r="H123" i="1"/>
  <c r="I34" i="1"/>
  <c r="AL36" i="1"/>
  <c r="I65" i="1"/>
  <c r="AM65" i="1"/>
  <c r="AL65" i="1"/>
  <c r="I82" i="1"/>
  <c r="AL84" i="1"/>
  <c r="AM102" i="1"/>
  <c r="AL102" i="1"/>
  <c r="I102" i="1"/>
  <c r="I104" i="1"/>
  <c r="AM104" i="1"/>
  <c r="AL104" i="1"/>
  <c r="AL108" i="1"/>
  <c r="I120" i="1"/>
  <c r="AM120" i="1"/>
  <c r="AL120" i="1"/>
  <c r="N123" i="1"/>
  <c r="I2" i="1"/>
  <c r="I18" i="1"/>
  <c r="AM38" i="1"/>
  <c r="AL38" i="1"/>
  <c r="AM42" i="1"/>
  <c r="I59" i="1"/>
  <c r="AL59" i="1"/>
  <c r="AM86" i="1"/>
  <c r="AL86" i="1"/>
  <c r="AM94" i="1"/>
  <c r="AL94" i="1"/>
  <c r="I94" i="1"/>
  <c r="I96" i="1"/>
  <c r="AM96" i="1"/>
  <c r="AL96" i="1"/>
  <c r="AL100" i="1"/>
  <c r="I106" i="1"/>
  <c r="AM13" i="1"/>
  <c r="P123" i="1"/>
  <c r="AM6" i="1"/>
  <c r="AL6" i="1"/>
  <c r="AM22" i="1"/>
  <c r="AL22" i="1"/>
  <c r="I47" i="1"/>
  <c r="AM47" i="1"/>
  <c r="AL47" i="1"/>
  <c r="I56" i="1"/>
  <c r="AM56" i="1"/>
  <c r="AM77" i="1"/>
  <c r="I88" i="1"/>
  <c r="AM88" i="1"/>
  <c r="AL88" i="1"/>
  <c r="I98" i="1"/>
  <c r="I109" i="1"/>
  <c r="AM117" i="1"/>
  <c r="AM10" i="1"/>
  <c r="AM26" i="1"/>
  <c r="I43" i="1"/>
  <c r="AL43" i="1"/>
  <c r="AM66" i="1"/>
  <c r="I90" i="1"/>
  <c r="I114" i="1"/>
  <c r="AM114" i="1"/>
  <c r="AL123" i="1" l="1"/>
  <c r="AM123" i="1"/>
</calcChain>
</file>

<file path=xl/sharedStrings.xml><?xml version="1.0" encoding="utf-8"?>
<sst xmlns="http://schemas.openxmlformats.org/spreadsheetml/2006/main" count="2787" uniqueCount="1212">
  <si>
    <t>MODEL</t>
  </si>
  <si>
    <t>TEST</t>
  </si>
  <si>
    <t>SECURITY</t>
  </si>
  <si>
    <t>SYSTEM</t>
  </si>
  <si>
    <t>source</t>
  </si>
  <si>
    <t>document_type</t>
  </si>
  <si>
    <t>type_C_J</t>
  </si>
  <si>
    <t>AREA</t>
  </si>
  <si>
    <t>OUR-EVALUATION</t>
  </si>
  <si>
    <t>nome-file2</t>
  </si>
  <si>
    <t>TITLE</t>
  </si>
  <si>
    <t>PUNTO</t>
  </si>
  <si>
    <t>SOVRAPPOSIZIONI</t>
  </si>
  <si>
    <t>NEW MODEL</t>
  </si>
  <si>
    <t>MBSE</t>
  </si>
  <si>
    <t>IOT SPECFIC</t>
  </si>
  <si>
    <t>ALL</t>
  </si>
  <si>
    <t>ALL5</t>
  </si>
  <si>
    <t>DEPLOYMENT</t>
  </si>
  <si>
    <t>ALL6</t>
  </si>
  <si>
    <t>ORCHESTRATION</t>
  </si>
  <si>
    <t>High Level</t>
  </si>
  <si>
    <t>issues</t>
  </si>
  <si>
    <t>ALL2</t>
  </si>
  <si>
    <t>ALL22</t>
  </si>
  <si>
    <t>Performance</t>
  </si>
  <si>
    <t>Monitoring</t>
  </si>
  <si>
    <t>Logginh</t>
  </si>
  <si>
    <t>ALL3</t>
  </si>
  <si>
    <t>ALL32</t>
  </si>
  <si>
    <t>TESTING</t>
  </si>
  <si>
    <t>ALL7</t>
  </si>
  <si>
    <t>DEVSECOPS</t>
  </si>
  <si>
    <t>ADDITIONAL</t>
  </si>
  <si>
    <t>MATURITY MODEL</t>
  </si>
  <si>
    <t>PRIVACY</t>
  </si>
  <si>
    <t>ALL4</t>
  </si>
  <si>
    <t>ALL8</t>
  </si>
  <si>
    <t>Citazioni distinte</t>
  </si>
  <si>
    <t>Citazioni considerate su più aree</t>
  </si>
  <si>
    <t>Quality Score</t>
  </si>
  <si>
    <t>CLAUDE</t>
  </si>
  <si>
    <t>Pag.Num</t>
  </si>
  <si>
    <t>DESIGN</t>
  </si>
  <si>
    <t>VALIDITY</t>
  </si>
  <si>
    <t>REPLICABILITY</t>
  </si>
  <si>
    <t>THREATS</t>
  </si>
  <si>
    <t>MATURITY</t>
  </si>
  <si>
    <t>POC</t>
  </si>
  <si>
    <t>authors</t>
  </si>
  <si>
    <t>year</t>
  </si>
  <si>
    <t>doi</t>
  </si>
  <si>
    <t>URL</t>
  </si>
  <si>
    <t>abstract</t>
  </si>
  <si>
    <t>keywords</t>
  </si>
  <si>
    <t>journal</t>
  </si>
  <si>
    <t>booktitle</t>
  </si>
  <si>
    <t>publisher</t>
  </si>
  <si>
    <t>screening_reason</t>
  </si>
  <si>
    <t>SCOPUS</t>
  </si>
  <si>
    <t>IEEE</t>
  </si>
  <si>
    <t>WOS</t>
  </si>
  <si>
    <t>ACM</t>
  </si>
  <si>
    <t>DISTINTI</t>
  </si>
  <si>
    <t>thematic_area</t>
  </si>
  <si>
    <t>iot_context</t>
  </si>
  <si>
    <t>devops_practices</t>
  </si>
  <si>
    <t>tools_frameworks</t>
  </si>
  <si>
    <t>Conference paper</t>
  </si>
  <si>
    <t>C</t>
  </si>
  <si>
    <t>6 - Security, Privacy and Risk Assessment.</t>
  </si>
  <si>
    <t>LOW</t>
  </si>
  <si>
    <t>Automated deployment of SmartX IoT-cloud services based on continuous integration</t>
  </si>
  <si>
    <t>MEDIUM</t>
  </si>
  <si>
    <t>GOOD</t>
  </si>
  <si>
    <t>SUFFICIENT</t>
  </si>
  <si>
    <t>NO</t>
  </si>
  <si>
    <t>YES</t>
  </si>
  <si>
    <t>J. Bae; C. Kim; J. Kim</t>
  </si>
  <si>
    <t>10.1109/ICTC.2016.7763372</t>
  </si>
  <si>
    <t>https://ieeexplore.ieee.org/stamp/stamp.jsp?arnumber=7763372</t>
  </si>
  <si>
    <t>Since convergence of IoT and Cloud, IoT-Cloud, has potential to provide futuristic IT services, there are many research about IoT-Cloud service. To keep pace with trend, we are studying and developing IoT-Cloud service. Goal of this service is reducing power consumption in server room. To design this service, we use microservice. Since it is set of inter-connection of functions, frequent verification is important. Therefore, we adopt Continuous Integration (CI). It is designed to build and running service in testbed automatically. It reduces integration effort. In this paper, we introduce our experience in automated deployment of SmartX IoT-Cloud services based on CI.</t>
  </si>
  <si>
    <t>DevOps;Continuous Integration;Internet of Things;Cloud;IoT-Cloud;IoT-Cloud service</t>
  </si>
  <si>
    <t>2016 International Conference on Information and Communication Technology Convergence (ICTC)</t>
  </si>
  <si>
    <t>Describes practical experience implementing CI-based automated deployment for IoT-cloud microservices, directly connecting DevOps practices to an IoT-cloud convergence use case.</t>
  </si>
  <si>
    <t>2 - CI/CD for Development, Integration, and Deployment</t>
  </si>
  <si>
    <t>IoT-cloud microservices (server-room power reduction)</t>
  </si>
  <si>
    <t>Continuous Integration; automated deployment</t>
  </si>
  <si>
    <t>not specified</t>
  </si>
  <si>
    <t>4 - Performance Monitoring.</t>
  </si>
  <si>
    <t>DevOps Transformation for Multi-Cloud IoT Applications</t>
  </si>
  <si>
    <t>L. Georgeta Guşeilă; D. -V. Bratu; S. -A. Moraru</t>
  </si>
  <si>
    <t>10.1109/ISSI47111.2019.9043730</t>
  </si>
  <si>
    <t>https://ieeexplore.ieee.org/stamp/stamp.jsp?arnumber=9043730</t>
  </si>
  <si>
    <t>In the dynamic IoT ecosystem, the fast development of applications is critical to achieve business goals and stay ahead of the competition. DevOps is a software development method that enables enterprises to deliver software product features through process automation, foster team collaboration and increase efficiency in the entire software lifecycle management building the way towards cloudification and enabling digital transformation. Furthermore, DevOps relies on automation in operations through monitoring and measuring the KPIs of a running system. The research presents the role of DevOps in the transformation of the IT Service delivery using a DevOps assessment to establish the maturity of software applications and the adoption of DevOps using the CI/CD) pipeline and automated testing. The paper provides a conceptual view of the CI/CD) pipeline based on agile tool, which will be implemented during future research.</t>
  </si>
  <si>
    <t>IoT;DevOps;DevOps Assessment;Software Lifecycle Management;Continuous Integration;Continuous Delivery;Test Automation</t>
  </si>
  <si>
    <t>2019 International Conference on Sensing and Instrumentation in IoT Era (ISSI)</t>
  </si>
  <si>
    <t>Discusses DevOps transformation and CI/CD pipelines for multi-cloud IoT applications with a maturity assessment, though the CI/CD pipeline remains conceptual and not yet implemented.</t>
  </si>
  <si>
    <t>multi-cloud IoT applications (general)</t>
  </si>
  <si>
    <t>DevOps maturity assessment; CI/CD pipeline (conceptual); test automation</t>
  </si>
  <si>
    <t>1 - Novel Models for IoT</t>
  </si>
  <si>
    <t>A Generic Method to Rapidly Release Internet Services on Commercial Platforms</t>
  </si>
  <si>
    <t>HIGH</t>
  </si>
  <si>
    <t>X. Zhou; Z. Feng; J. Xiao; S. Chen; X. Xue; H. Wu</t>
  </si>
  <si>
    <t>10.1109/ICWS53863.2021.00055</t>
  </si>
  <si>
    <t>https://ieeexplore.ieee.org/stamp/stamp.jsp?arnumber=9590282</t>
  </si>
  <si>
    <t>The prosperous development of Internet services such as O2O, IoT, and Web API has brought new vitality to service commercial platforms. However, these services involve online and offline business, which are widely diverse without a unified design and development standard. In addition, Internet services update frequently, which leads to repeat releases on commercial platforms. Therefore, in this paper, we present a generic method to rapidly release Internet services on commercial platforms. The method uses a highly abstract metamodel to express service business extensively and realizes service functions by executing metamodel objects. This method has wide versatility. Meanwhile, it extends the DevOps theory to solve the frequent changes of service functions during use after the release. Finally, we verified the usability of this method in the elderly healthcare domain.</t>
  </si>
  <si>
    <t>Internet service;commercial platform;DevOps;service release;metamodel;elderly healthcare</t>
  </si>
  <si>
    <t>2021 IEEE International Conference on Web Services (ICWS)</t>
  </si>
  <si>
    <t>Extends DevOps theory to rapid release of Internet services including IoT on commercial platforms, but IoT is one of several domains mentioned with limited depth on DevOps+IoT integration specifically.</t>
  </si>
  <si>
    <t>elderly healthcare (validation domain); general O2O/IoT/Web API services</t>
  </si>
  <si>
    <t>rapid release; metamodel-driven deployment</t>
  </si>
  <si>
    <t>Actuation Conflict Management in Internet of Things Systems DevOps: A Discrete Event Modeling and Simulation Approach</t>
  </si>
  <si>
    <t>Capocchi L.; Santucci J.-F.; Tigli J.-Y.; Gomnin T.; Lavirotte S.; Rocher G.</t>
  </si>
  <si>
    <t>10.1007/978-3-031-81900-1_12</t>
  </si>
  <si>
    <t>https://www.scopus.com/inward/record.uri?eid=2-s2.0-85215304769&amp;doi=10.1007%2f978-3-031-81900-1_12&amp;partnerID=40&amp;md5=4b37a7193b3c33a4e4a2bb98ebc80db5</t>
  </si>
  <si>
    <t>In IoT DevOps, simulating actuation conflict management is crucial for enhancing conflict detection and resolution in concurrent IoT applications. This paper introduces a new discrete event modeling and simulation approach for IoT systems during the design phase. Its objectives are to identify potential conflicts arising from competing smart applications accessing shared actuators or physical properties and to validate actuation conflict management specifications aimed at resolving conflicts among concurrent access attempts to IoT devices. The formalism of discrete event system specification is employed to model IoT systems formally, incorporating an actuation conflict management simulation model. This aids designers in the resolution of actuation conflicts. © IFIP International Federation for Information Processing 2025.</t>
  </si>
  <si>
    <t>IFIP Advances in Information and Communication Technology</t>
  </si>
  <si>
    <t>Directly addresses IoT DevOps by proposing a discrete event modeling and simulation approach for actuation conflict management during the IoT DevOps design phase.</t>
  </si>
  <si>
    <t>smart applications with shared actuators (generic smart environment)</t>
  </si>
  <si>
    <t>DevOps design-phase modeling; conflict-management simulation</t>
  </si>
  <si>
    <t>DEVS formalism (simulation)</t>
  </si>
  <si>
    <t>Article</t>
  </si>
  <si>
    <t>J</t>
  </si>
  <si>
    <t>Containerized Architecture Performance Analysis for IoT Framework Based on Enhanced Fire Prevention Case Study: Rwanda</t>
  </si>
  <si>
    <t>Hitimana E.; Bajpai G.; Musabe R.; Sibomana L.; Jayavel K.</t>
  </si>
  <si>
    <t>10.3390/s22176462</t>
  </si>
  <si>
    <t>https://www.scopus.com/pages/publications/85137560749?origin=resultslist</t>
  </si>
  <si>
    <t>Nowadays, building infrastructures are pushed to become smarter in response to desires for the environmental comforts of living. Enhanced safety upgrades have begun taking advantage of new, evolving technologies. Normally, buildings are configured to respond to the safety concerns of the occupants. However, advanced Internet of Things (IoT) techniques, in combination with edge computing with lightweight virtualization technology, is being used to improve users’ comfort in their homes. It improves resource management and service isolation without affecting the deployment of heterogeneous hardware. In this research, a containerized architectural framework for support of multiple concurrent deployed IoT applications for smart buildings was proposed. The prototype developed used sensor networks as well as containerized microservices, centrally featuring the DevOps paradigm. The research proposed an occupant counting algorithm used to check occupants in and out. The proposed framework was tested in different academic buildings for data acquisition over three months. Different deployment architectures were tested to ensure the best cases based on efficiency and resource utilization. The acquired data was used for prediction purposes to aid occupant prediction for safety measures as considered by policymakers. © 2022 by the authors.</t>
  </si>
  <si>
    <t>Sensors</t>
  </si>
  <si>
    <t>Proposes a containerized microservices framework for IoT smart building applications featuring the DevOps paradigm, with empirical testing across deployment architectures, though DevOps depth is limited.</t>
  </si>
  <si>
    <t>3 - System-Wide Orchestration of Software and Hardware</t>
  </si>
  <si>
    <t>smart building fire-safety (occupant counting), Rwanda case study</t>
  </si>
  <si>
    <t>containerized microservices; DevOps-paradigm deployment</t>
  </si>
  <si>
    <t>containers (engine unspecified); sensor networks</t>
  </si>
  <si>
    <t>Evaluating the DevOps Reference Architecture for Multi-cloud IoT-Applications</t>
  </si>
  <si>
    <t>Bou Ghantous G.; Gill A.Q.</t>
  </si>
  <si>
    <t>10.1007/s42979-021-00519-6</t>
  </si>
  <si>
    <t>https://www.scopus.com/inward/record.uri?eid=2-s2.0-85112098751&amp;doi=10.1007%2fs42979-021-00519-6&amp;partnerID=40&amp;md5=60d5efddb0f5874b6adfb2cd3527f1d1</t>
  </si>
  <si>
    <t>DevOps originated in the context of the agile development aims to enable the continuous deployment of software applications in small releases. Most recently, organizations are taking a significant interest in adopting DevOps for automatically deploying IoT applications to multi-cloud. The interest is there; however, the challenge is how to achieve this. A new DevOps reference architecture (DRA) framework has been iteratively developed to address this challenge. This paper presents the updated DRA framework and its empirical evaluation results. The empirical evaluation is composed of two phases: (1) industry case study evaluation conducted in an IT organization, and (2) industry field survey with a cohort of experts in software engineering. The evaluation aims to determine the applicability and novelty of the DRA framework. The evaluation results indicate that the DRA is fit for its intended purpose and is expected to help both researchers and practitioners. The DRA uses can architect complex design models for the purpose of supporting the automated development stage of software applications. Software engineers can implement the DRA models for deploying complex IoT application to the multi-cloud environment in the current organization development parameters. © 2021, The Author(s).</t>
  </si>
  <si>
    <t>SN Computer Science</t>
  </si>
  <si>
    <t>Presents and empirically evaluates a DevOps reference architecture framework specifically designed for deploying IoT applications to multi-cloud environments.</t>
  </si>
  <si>
    <t>multi-cloud IoT application deployment (industry case study + expert survey)</t>
  </si>
  <si>
    <t>DevOps reference architecture; automated deployment</t>
  </si>
  <si>
    <t>FREEDA: Failure-Resilient, Energy-aware, and Explainable Deployment of Microservice-based Applications over Cloud-IoT Infrastructures</t>
  </si>
  <si>
    <t>Vitali M.; Soldani J.; Amadini R.; Brogi A.; Forti S.; Gazza S.; Giallorenzo S.; Plebani P.; Ponce F.; Zavattaro G.</t>
  </si>
  <si>
    <t>https://www.scopus.com/inward/record.uri?eid=2-s2.0-85195213536&amp;partnerID=40&amp;md5=afdfee12fd37739ecbc0e45015517607</t>
  </si>
  <si>
    <t>FREEDA is an Italian research project aimed at supporting DevOps engineers in achieving failure-resilient and environmentally sustainable deployments of microservice-based applications over the Cloud-edge computing continuum. In this article, we describe motivations, objectives and first results of the FREEDA project, and discuss how FREEDA relates to the Information Systems Engineering community. © 2024 Copyright for this paper by its authors.</t>
  </si>
  <si>
    <t>CEUR Workshop Proceedings</t>
  </si>
  <si>
    <t>Describes a research project supporting DevOps engineers in deploying microservice applications over Cloud-IoT infrastructures, with relevant motivations and early results.</t>
  </si>
  <si>
    <t>cloud-edge computing continuum (general)</t>
  </si>
  <si>
    <t>failure-resilient &amp; sustainable deployment; DevOps engineering support</t>
  </si>
  <si>
    <t>not specified (early-stage project)</t>
  </si>
  <si>
    <t>Private LTE Network Service Management Model, based on Agile Methodologies, for Big Mining Companies</t>
  </si>
  <si>
    <t>Valdivia-Bedregal, J; Bedregal-Alpaca, N; Castañeda-Huaman, E</t>
  </si>
  <si>
    <t>Information technology (IT) services must generate added value for any business, either by enhancing its processes, automating its activities, or managing its resources. Using Long Term Evolution (LTE) Networks, IoT solutions and devices are able to be deployed in order to prevent safety incidents and or to online monitor performance and maintenance indicators produced by field equipment. Under the same context, implementing a private LTE network Service Management Model becomes a basic need for any company. Proposed Service Management model must be flexible enough to changes in order to accomplish high productivity demands like the ones that a Big Mining Company requires. Proposed model is based on Information Technology Infrastructure Library (ITIL) as the best known, disseminated and proven framework; additionally, it uses well known agile methodologies such as Scrum and DevOps. Along with the deployment for each of the proposed stages, a visual scheme is generated which, when it comes to a conclusion at the final stage, allows to visualize model interactions in its entirety. In addition to describing the expected results, model validation has been accomplished by an expert panel judgment under the developed topic. As a conclusion, proposed model involves a holistic approach, that is, a comprehensive approach that addresses various aspects of service management supported by a private LTE platform. © 2021</t>
  </si>
  <si>
    <t>International Journal of Advanced Computer Science and Applications</t>
  </si>
  <si>
    <t>Proposes a service management model combining DevOps, Scrum, and ITIL for LTE-based IoT deployments in mining, addressing DevOps as a strategic enabler for IoT solutions, though depth on DevOps+IoT integration is limited.</t>
  </si>
  <si>
    <t>private LTE IoT deployments, big mining companies</t>
  </si>
  <si>
    <t>Scrum; DevOps; ITIL-based service management</t>
  </si>
  <si>
    <t>not specified (LTE network mgmt platform)</t>
  </si>
  <si>
    <t>A reference architecture for the container ecosystem</t>
  </si>
  <si>
    <t>Syed, MH; Fernandez, EB</t>
  </si>
  <si>
    <t>10.1145/3230833.3232854</t>
  </si>
  <si>
    <t>-</t>
  </si>
  <si>
    <t>container ecosystem (no abstract available; low confidence)</t>
  </si>
  <si>
    <t>containerization reference architecture</t>
  </si>
  <si>
    <t>Cloud Ecosystems Support for Internet of Things and DevOps Using Patterns</t>
  </si>
  <si>
    <t>M. H. Syed; E. B. Fernandez</t>
  </si>
  <si>
    <t>10.1109/IoTDI.2015.31</t>
  </si>
  <si>
    <t>https://ieeexplore.ieee.org/stamp/stamp.jsp?arnumber=7471379</t>
  </si>
  <si>
    <t>An ecosystem is the expansion of a software product line architecture to include systems outside the product which interact with the product. A cloud ecosystem includes interdependent and communicating components. Not only the cloud ecosystem itself keeps evolving, but it also affects the way in which we develop and deploy software. We model the architecture of a cloud ecosystem as a set of patterns, showing partial descriptions for some of them. We then discuss the role of this evolving platform in facilitating the Internet of Things and the new DevOps framework for developing software.</t>
  </si>
  <si>
    <t>Software ecosystems;Internet of Things;cloud computing;fog computing;software containers;DevOps;reference architectures</t>
  </si>
  <si>
    <t>2016 IEEE First International Conference on Internet-of-Things Design and Implementation (IoTDI)</t>
  </si>
  <si>
    <t>Discusses cloud ecosystem patterns that facilitate both IoT and DevOps, but the treatment of their integration is architectural and relatively high-level without deep empirical evidence.</t>
  </si>
  <si>
    <t>cloud ecosystem supporting IoT generally (architectural patterns)</t>
  </si>
  <si>
    <t>DevOps framework enablement via reference architecture patterns</t>
  </si>
  <si>
    <t>0 - Motivation</t>
  </si>
  <si>
    <t>When IoT Meets DevOps: Fostering Business Opportunities</t>
  </si>
  <si>
    <t>Banica, L; Polychronidou, P; Radulescu, M; Stefan, C</t>
  </si>
  <si>
    <t>10.18502/kss.v3i10.3542</t>
  </si>
  <si>
    <t>http://dx.doi.org/10.18502/kss.v3i10.3542</t>
  </si>
  <si>
    <t>The Internet of Things (IoT) is the new digital revolution for the near-future society, the second after the creation of the Internet itself. The software industry is converging towards the large-scale deployment of IoT devices and services, and there's broad support from the business environment for this engineering vision. The Development and Operations (DevOps) project management methodology, with continuous delivery and integration, is the preferred approach for achieving and deploying applications to all levels of the IoT architecture. In this paper we also discuss the promising trend of associating devices with microservices, which are further encapsulated into functional packages called containers. Docker is considered the market leader in container-based service delivery, though other important software companies are promoting this concept as part of the technology solution for their IoT customers. In the experimental section we propose a three-layer IoT model, business-oriented, and distributed over multiple cloud environments, comprising the Physical, Fog/Edge, and Application layers.</t>
  </si>
  <si>
    <t>ECONOMIES OF THE BALKAN AND THE EASTERN EUROPEAN COUNTRIES IN THE CHANGING WORLD (EBEEC 2018)</t>
  </si>
  <si>
    <t>Directly addresses DevOps as a strategic enabler for IoT deployment, discussing CI/CD, microservices, containers, and a multi-layer IoT architecture with experimental validation.</t>
  </si>
  <si>
    <t>generic multi-cloud 3-layer IoT architecture (Physical/Fog-Edge/Application)</t>
  </si>
  <si>
    <t>CI/CD; microservices; containerization</t>
  </si>
  <si>
    <t>Docker</t>
  </si>
  <si>
    <t>Quality 4.0 in Software Engineering: Incorporating Scaled Agile Insights to a Framework Proposal</t>
  </si>
  <si>
    <t>Bankoff, KP; Muñoz, R; Pasini, A; Pesado, P</t>
  </si>
  <si>
    <t>10.1007/978-3-031-62245-8_13</t>
  </si>
  <si>
    <t>Scaled Agile practices (quality focus)</t>
  </si>
  <si>
    <t>Semantic Inferences Towards Smart IoT-Based Systems Actuation Conflicts Management.</t>
  </si>
  <si>
    <t>. Rocher, J.-Y. Tigli, and S. Lavirotte</t>
  </si>
  <si>
    <t>smart IoT actuation systems (conflict management)</t>
  </si>
  <si>
    <t>not specified (no abstract)</t>
  </si>
  <si>
    <t>5 - Large-Scale Testing.</t>
  </si>
  <si>
    <t>A Kafka-Based Robot Automation Testing Using Genetic Algorithm</t>
  </si>
  <si>
    <t>Yadav V.; Botchway R.K.; Šenkeřík R.; Komínková Oplatková Z.</t>
  </si>
  <si>
    <t>10.1007/978-981-99-8703-0_25</t>
  </si>
  <si>
    <t>https://www.scopus.com/inward/record.uri?eid=2-s2.0-85187790993&amp;doi=10.1007%2f978-981-99-8703-0_25&amp;partnerID=40&amp;md5=ed779bc95cc8122cf373d156c79a7bbe</t>
  </si>
  <si>
    <t>Application programs; Genetic algorithms; Middleware; Population statistics; Robots; Software design; Automation testing; Data stream; Endpoint; High volumes; Kafkum; Realtime processing; Robot framework; Software testings; Testing framework; Volume data; Software testing</t>
  </si>
  <si>
    <t>5 - Large-Scale Testing</t>
  </si>
  <si>
    <t>robotic automation testing (no abstract; inferred from title)</t>
  </si>
  <si>
    <t>test automation (implied)</t>
  </si>
  <si>
    <t>Apache Kafka</t>
  </si>
  <si>
    <t>IEEE Conferences</t>
  </si>
  <si>
    <t>7 - Comparative Analysis of Frameworks.</t>
  </si>
  <si>
    <t>A Microservices Platform for Monitoring and Analysis of IoT Traffic Data in Smart Cities</t>
  </si>
  <si>
    <t>A. De Iasio; A. Furno; L. Goglia; E. Zimeo</t>
  </si>
  <si>
    <t>10.1109/BigData47090.2019.9006025</t>
  </si>
  <si>
    <t>https://ieeexplore.ieee.org/stamp/stamp.jsp?arnumber=9006025</t>
  </si>
  <si>
    <t>IoT Platform;Microservices;Smart cities;Traffic monitoring;Resilience</t>
  </si>
  <si>
    <t>4 - Performance Monitoring</t>
  </si>
  <si>
    <t>smart-city IoT traffic data</t>
  </si>
  <si>
    <t>microservices-based monitoring platform</t>
  </si>
  <si>
    <t>Fostering Agricultural Transformation through AI: An Open-Source AI Architecture Exploiting the MLOps Paradigm</t>
  </si>
  <si>
    <t>Cob-Parro, AC; Lalangui, Y; Lazcano, R</t>
  </si>
  <si>
    <t>10.3390/agronomy14020259</t>
  </si>
  <si>
    <t>precision/smart agriculture (open-source AI architecture)</t>
  </si>
  <si>
    <t>MLOps</t>
  </si>
  <si>
    <t>LOG plus plus Logging for a Cloud-Native World</t>
  </si>
  <si>
    <t>Marron, M</t>
  </si>
  <si>
    <t>10.1145/3276945.3276952</t>
  </si>
  <si>
    <t>cloud-native systems (logging); no explicit IoT device named</t>
  </si>
  <si>
    <t>logging / observability practices</t>
  </si>
  <si>
    <t>Model-based approach for semantic-driven deployment of containerized applications to support future internet services and architectures</t>
  </si>
  <si>
    <t>Petrović N.</t>
  </si>
  <si>
    <t>10.2298/SJEE1901021P</t>
  </si>
  <si>
    <t>https://www.scopus.com/inward/record.uri?eid=2-s2.0-85067337670&amp;doi=10.2298%2fSJEE1901021P&amp;partnerID=40&amp;md5=3073e2fc7e58f692b6e3f79b465c64be</t>
  </si>
  <si>
    <t>future internet services/architectures (general)</t>
  </si>
  <si>
    <t>semantic-driven automated deployment; containerization</t>
  </si>
  <si>
    <t>3 - System-Wide Orchestration of Software and Hardware.</t>
  </si>
  <si>
    <t>Orchestration of Containerized Applications in the Cloud Continuum</t>
  </si>
  <si>
    <t>G. Di Modica; A. Galletta; L. Carnevale; A. Alkhansa; A. Costantini; D. Cesini; P. Bellavista; M. Villari</t>
  </si>
  <si>
    <t>10.1109/PerComWorkshops56833.2023.10150375</t>
  </si>
  <si>
    <t>https://ieeexplore.ieee.org/stamp/stamp.jsp?arnumber=10150375</t>
  </si>
  <si>
    <t>Service orchestration;Computing Continuum;Cloud;Edge;IoT;Machine Learning;OCR</t>
  </si>
  <si>
    <t>cloud continuum (edge/cloud, general)</t>
  </si>
  <si>
    <t>container orchestration</t>
  </si>
  <si>
    <t>PROMENADE: A big data platform for handling city complex networks with dynamic graphs</t>
  </si>
  <si>
    <t>Colarusso, C; De Iasio, A; Furno, A; Goglia, L; Merzoug, MA; Zimeo, E</t>
  </si>
  <si>
    <t>10.1016/j.future.2022.07.008</t>
  </si>
  <si>
    <t>smart-city big-data networks</t>
  </si>
  <si>
    <t>TDD4Fog: A Test-Driven Software Development Platform for Fog Computing Systems</t>
  </si>
  <si>
    <t>R. Li; X. Liu; X. Zheng; C. Zhang; H. Liu</t>
  </si>
  <si>
    <t>10.1109/CCGrid49817.2020.00-25</t>
  </si>
  <si>
    <t>https://ieeexplore.ieee.org/stamp/stamp.jsp?arnumber=9139723</t>
  </si>
  <si>
    <t>Test-Driven Development;DevOps;Microservices;Fog Computing;Smart Services</t>
  </si>
  <si>
    <t>fog computing systems</t>
  </si>
  <si>
    <t>test-driven development (TDD)</t>
  </si>
  <si>
    <t>The Next Generation Platform as a Service Cloudifying Service Deployments in Telco-Operators Infrastructure</t>
  </si>
  <si>
    <t>A. Mimidis; E. Ollora; J. Soler; S. Bessem; L. Roullet; S. Van Rossem; S. Pinneterre; M. Paolino; D. Raho; X. Du; J. Chesterfield; M. Flouris; L. Mariani; O. Riganelli; M. Mobilio; A. Ramos; I. Labrador; A. Broadbent; P. Veitch; M. Zembra</t>
  </si>
  <si>
    <t>10.1109/ICT.2018.8464838</t>
  </si>
  <si>
    <t>https://ieeexplore.ieee.org/stamp/stamp.jsp?arnumber=8464838</t>
  </si>
  <si>
    <t>telco;microservices;5G;PaaS;DevOps;Dev-for-Operations;SDN;NFV;FPGA;vSwitch;ioT;cloud native</t>
  </si>
  <si>
    <t>6 - Security, Privacy and Risk Assessment</t>
  </si>
  <si>
    <t>telecom operator infrastructure (IoT-adjacent)</t>
  </si>
  <si>
    <t>cloudification of service deployments</t>
  </si>
  <si>
    <t>A Cloud-Based Real-Time Weather Forecasting Application</t>
  </si>
  <si>
    <t>Y. Beeharry; T. P. Fowdur; J. A. Sunglee</t>
  </si>
  <si>
    <t>10.1109/TELSIKS46999.2019.9002327</t>
  </si>
  <si>
    <t>https://ieeexplore.ieee.org/stamp/stamp.jsp?arnumber=9002327</t>
  </si>
  <si>
    <t>With the advent of Internet of Things (IoT) applications requiring massive streaming data collections, the need for new cloud databases has risen. This work focusses on the implementation of an end-to-end system from real-time data collection to real-time prediction. The storage system is implemented on the International Business Machines (IBM) cloud platform using the Cloudant NoSQL database service. The prediction algorithm is implemented in JAVA using the Devops Insights service together with a web interface and an android mobile application. The system demonstrates rapid real-time prediction when deployed on the IBM cloud platform as well as real-time storage capabilities.</t>
  </si>
  <si>
    <t>Weather prediction;IBM;Cloudant;DevOPs Insights;real-time</t>
  </si>
  <si>
    <t>2019 14th International Conference on Advanced Technologies, Systems and Services in Telecommunications (TELSIKS)</t>
  </si>
  <si>
    <t>Implements a cloud-based IoT weather forecasting application using IBM DevOps Insights, but DevOps is used as a peripheral service rather than being substantively integrated with IoT as a central theme.</t>
  </si>
  <si>
    <t>real-time weather/streaming IoT data (IBM Cloud)</t>
  </si>
  <si>
    <t>DevOps Insights (monitoring/prediction service)</t>
  </si>
  <si>
    <t>IBM Cloud; Cloudant NoSQL; Java; Android app</t>
  </si>
  <si>
    <t>A DevOps Approach for Cyber-Physical System-of-Systems Engineering through Arrowhead</t>
  </si>
  <si>
    <t>C. Hegedũs; P. Varga; A. Frankó</t>
  </si>
  <si>
    <t>https://ieeexplore.ieee.org/stamp/stamp.jsp?arnumber=9464069</t>
  </si>
  <si>
    <t>The stakeholders in the Cyber-Physical System-of-Systems (CPS, SoS, CPSoS) domains need to adopt current methodologies that enable reliable but also flexible and timely completion of development, integration, deployment, operation, and even maintenance-related tasks. The so-called DevOps (Development &amp; Operations) approach has been proven in various other domains of IT-related service completion and operation. Both the technology set and the management approaches of CPS and SoS practitioners can benefit the adoption of the DevOps toolchain success stories - the everyday life of software, cloud and IT-service development, and operations-focused companies. This paper proposes an expansion of the application area of the DevOps models, toolchains, and even utilities to the CPS and SoS domains. It proposes to create an abstraction of CPS devices as reusable infrastructure resources, which can be then automatically re-purposed for new workflow tasks, as well as to fill the remaining DevOps tooling gaps with actual Systems of the Arrowhead Framework.</t>
  </si>
  <si>
    <t>2021 IFIP/IEEE International Symposium on Integrated Network Management (IM)</t>
  </si>
  <si>
    <t>Explicitly proposes expanding DevOps models, toolchains, and utilities to Cyber-Physical System-of-Systems domains using the Arrowhead Framework, directly addressing motivations, practices, and tools for DevOps+IoT/CPS integration.</t>
  </si>
  <si>
    <t>Cyber-Physical System-of-Systems (industrial CPS/IoT)</t>
  </si>
  <si>
    <t>DevOps toolchain expansion to CPS/SoS domains</t>
  </si>
  <si>
    <t>Arrowhead Framework</t>
  </si>
  <si>
    <t>A DevOps Perspective for QoS-Aware Adaptive Applications</t>
  </si>
  <si>
    <t>De Sanctis M.; Bucchiarone A.; Trubiani C.</t>
  </si>
  <si>
    <t>10.1007/978-3-030-39306-9_7</t>
  </si>
  <si>
    <t>https://www.scopus.com/pages/publications/85079097542?origin=resultslist</t>
  </si>
  <si>
    <t>This paper presents a vision on how to apply the DevOps paradigm in the context of QoS-aware adaptive applications. The goal is to raise awareness on the lack of quantitative approaches that support software designers in understanding the impact of design alternatives at the development and operational stages. To this end, in this paper we: (i) verify the compliance of a design for adaptation approach with the DevOps life-cycle; (ii) perform the runtime monitoring of dynamic IoT systems, through Quality-of-Service (QoS) evaluation of system parameters, to guide a QoS-based adaptation with the goal of fulfilling QoS-based requirements over time. © 2020, Springer Nature Switzerland AG.</t>
  </si>
  <si>
    <t>Lecture Notes in Computer Science (including subseries Lecture Notes in Artificial Intelligence and Lecture Notes in Bioinformatics)</t>
  </si>
  <si>
    <t>Presents a DevOps perspective for QoS-aware adaptive IoT systems with runtime monitoring, but the IoT+DevOps integration is conceptual and limited in empirical depth.</t>
  </si>
  <si>
    <t>dynamic/adaptive IoT systems (QoS-aware, generic)</t>
  </si>
  <si>
    <t>runtime monitoring; QoS-based adaptation within DevOps lifecycle</t>
  </si>
  <si>
    <t>A Kubernetes Algorithm for scaling Virtual Objects</t>
  </si>
  <si>
    <t>B. El Khalyly; A. Belangour</t>
  </si>
  <si>
    <t>10.1109/ISRITI51436.2020.9315393</t>
  </si>
  <si>
    <t>https://ieeexplore.ieee.org/stamp/stamp.jsp?arnumber=9315393</t>
  </si>
  <si>
    <t>Continuous scalability of applications operating in the Internet of Things domain has raised the issue of continuous integration. Users and operators involved in the establishment of connected object ecosystems want to have the ability to change and modify their applications without having to stop the function of the physical components in order to deploy their various applications that run these objects. In this article we propose a continuous integration and scaling approach based on Kubernetes and object virtualization to deploy different types of appropriate microservices.</t>
  </si>
  <si>
    <t>Devops;Kubernetes;Virtual Object;BDI</t>
  </si>
  <si>
    <t>2020 3rd International Seminar on Research of Information Technology and Intelligent Systems (ISRITI)</t>
  </si>
  <si>
    <t>Proposes a Kubernetes-based continuous integration and scaling approach specifically targeting IoT connected object ecosystems.</t>
  </si>
  <si>
    <t>connected-object ecosystems (generic IoT)</t>
  </si>
  <si>
    <t>continuous integration; scaling via orchestration</t>
  </si>
  <si>
    <t>Kubernetes</t>
  </si>
  <si>
    <t>A microservice-based framework for multi-level testing of cyber-physical systems</t>
  </si>
  <si>
    <t>Aldalur, I; Arrieta, A; Agirre, A; Sagardui, G; Arratibel, M</t>
  </si>
  <si>
    <t>10.1007/s11219-023-09639-z</t>
  </si>
  <si>
    <t>In the last years, the use of microservice architectures is spreading in Cyber-Physical Systems (CPSs) and Internet of Things (IoT) domains. CPSs are systems that integrate digital cyber computations with physical processes. The development of software for CPSs demands a constant maintenance to support new requirements, bug fixes, and deal with hardware obsolescence. The key in this process is code testing and more if the code is fragmented during the development of CPSs. It is important to remark that this process is challenging and time-consuming. In this paper, we report on the experience of instantiating of the microservice-based architecture for DevOps of CPSs to test elevator dispatching algorithms across different test levels (i.e., SiL, HiL and Operation). Such an architecture allows for a continuous deployment, monitoring and validation of CPSs. By integrating the approach with a real industrial case study, we demonstrate that our approach reduces significantly the time needed in the testing process and consequently, reduces the economic cost of the entire process. © The Author(s) 2023.</t>
  </si>
  <si>
    <t>Software Quality Journal</t>
  </si>
  <si>
    <t>Reports on a microservice-based DevOps architecture for multi-level testing of CPSs and IoT systems with continuous deployment and validation, demonstrated on an industrial elevator case study with measurable results.</t>
  </si>
  <si>
    <t>Cyber-Physical Systems, industrial elevator dispatching case study</t>
  </si>
  <si>
    <t>DevOps testing (SiL/HiL/Operation); continuous deployment &amp; monitoring</t>
  </si>
  <si>
    <t>A new metamodel approach of CI/CD applied to Internet of Things Ecosystem</t>
  </si>
  <si>
    <t>B. El Khalyly; A. Belangour; M. Banane; A. Erraissi</t>
  </si>
  <si>
    <t>10.1109/ICECOCS50124.2020.9314485</t>
  </si>
  <si>
    <t>https://ieeexplore.ieee.org/stamp/stamp.jsp?arnumber=9314485</t>
  </si>
  <si>
    <t>Continuous Integration is a development process where developers and integrators push code into a shared tools belonging to a toolchain. This is a kind of practive that permit build automation and test automation. This is a primordial practise that maintain the continuity of running programs in smart agents that constitutes Internet of Things systems. IoT connected objects are new technologies used to connect objects to the internet and users. The IoT influences our daily lives in several fields such as logistics, health, energy, intelligent vehicles, the smart home, or the smart city, etc. Subsequently, following the specific characteristics of the different architectures of the Internet of Things, a multitude of IoT architectures have been developed and deployed using different IoT frameworks. In this paper, we propose a metamodel of the Internet of Things, this proposal aims to standardize existing IoT architectures and those that may be proposed in the future.</t>
  </si>
  <si>
    <t>Model Driven Engineering;metamodeling;Devops;Internet of Thing;Continous Integration;Continous Deployment;Continous Delivery</t>
  </si>
  <si>
    <t>2020 IEEE 2nd International Conference on Electronics, Control, Optimization and Computer Science (ICECOCS)</t>
  </si>
  <si>
    <t>Proposes a CI/CD metamodel applied to IoT ecosystems to standardize architectures, directly addressing DevOps tooling integration with IoT though empirical evidence is thin.</t>
  </si>
  <si>
    <t>generic IoT ecosystem (logistics, health, energy, smart home/city/vehicle)</t>
  </si>
  <si>
    <t>CI/CD metamodel; build/test automation</t>
  </si>
  <si>
    <t>A Novel DevSecOps Model for Robust Security in an MQTT Internet of Things</t>
  </si>
  <si>
    <t>Ekoramaradhya, M; Thorpe, C</t>
  </si>
  <si>
    <t>Message Queuing Telemetry Transport (MQTT) is a standard messaging protocol for the Internet of Things (IoT). Among the various communication protocols used in IoT, MQTT stands unique because of its multiple advantages such as being efficient and light weight, reliability in message delivery and scalability to millions of things. However, the fact that the data privacy of the MQTT messages can be compromised while the data is in transit poses risks to the security mechanism. Attack scenarios related to MQTT have exposed multiple risks and vulnerabilities such as thousands of MQTT brokers being accessible over the default port, data privacy, authentication, data integrity, port obscurity, and botnet over MQTT. These risks and vulnerabilities undermine security mechanism which results in compromised IoT systems. Development Security and Operations (DevSecOps) aims at integrating security at every phase of the IoT lifecycle with enhanced automation, tools, and a process for determining security vulnerabilities at every stage. This results in a rapid and cost-effective IoT system which is enabled by proactive security mechanisms, threat prediction, threat detection, and alerting mechanisms. The aim of this work is to build a DevSecOps pipeline utilizing open source MQTT servers and brokers. A comparative study was performed to identify the risk posture provided by the DevSecOps pipeline across MQTT ports offering different combinations of security mechanisms. Firstly, threat modelling was conducted wherein the IoT system was analyzed at an architectural level from an attacker's perspective and appropriate risk mitigation and defense mechanisms were accommodated into the design. The IoT system was then subjected to rigorous static and dynamic analysis followed by vulnerability scanning and third component checks. Penetration test cases and controls are automated to check threats and vulnerabilities like escalation of privileges, denial of service, spoofing, information disclosure, and repudiation. An alerting mechanism is also integrated into the system to monitor risks and vulnerabilities. Our proposed DevSecOps models achieves standard maturity in security systems with earlier threat prediction and detection.</t>
  </si>
  <si>
    <t>THREATS; DEVOPS</t>
  </si>
  <si>
    <t>PROCEEDINGS OF THE 17TH INTERNATIONAL CONFERENCE ON CYBER WARFARE AND SECURITY (ICCWS 2022)</t>
  </si>
  <si>
    <t>Directly proposes a DevSecOps model for securing MQTT-based IoT systems, addressing security integration across the IoT lifecycle with tools, automation, and practices specific to IoT contexts.</t>
  </si>
  <si>
    <t>MQTT-based IoT messaging</t>
  </si>
  <si>
    <t>DevSecOps pipeline; threat modeling; automated penetration testing</t>
  </si>
  <si>
    <t>open-source MQTT brokers/servers</t>
  </si>
  <si>
    <t>Actuation Conflict Management Enabler for DevOps in IoT</t>
  </si>
  <si>
    <t>UNSUFFICIENT</t>
  </si>
  <si>
    <t>Gonnin T.; Dechavanne F.; Rocher G.; Lavirotte S.; Tigli J.-Y.; Capocchi L.; Santucci J.-F.</t>
  </si>
  <si>
    <t>10.1145/3423423.3423474</t>
  </si>
  <si>
    <t>https://www.scopus.com/pages/publications/85123043210?origin=resultslist</t>
  </si>
  <si>
    <t>DevOps methodology is well known in the field of classical software development to improve the software quality and the frequency of the deliveries. However, DevOps has not yet been popularized in the field of IoT. The reasons of that are new challenges that require new enablers in the DevOps tools ecosystem. The European ENACT project supported under the H2020 programme aims to respond to these challenges by providing new enablers to apply DevOps methodology for IoT application[2]. We present, here, one of these enablers called Action Conflict Management Enabler (ACM enabler) which aims at anticipating and resolving at Devs Time all conflicts[1] and dysfunctions that might result from mismanagement of the IoT system actuators. © 2020 Owner/Author.</t>
  </si>
  <si>
    <t>ACM International Conference Proceeding Series</t>
  </si>
  <si>
    <t>Presents a specific DevOps enabler (Actuation Conflict Management) developed within the ENACT project explicitly to support DevOps methodology in IoT systems.</t>
  </si>
  <si>
    <t>IoT actuator management (ENACT project)</t>
  </si>
  <si>
    <t>DevOps enabler tooling (Actuation Conflict Management enabler)</t>
  </si>
  <si>
    <t>ENACT platform</t>
  </si>
  <si>
    <t>Agile AI and Firmware Management in IoT: DevOps for Low-Power Microcontroller-Based Platforms</t>
  </si>
  <si>
    <t>M. AlSelek; J. M. Alcaraz-Calero; Q. Wang</t>
  </si>
  <si>
    <t>10.23919/SpliTech61897.2024.10612585</t>
  </si>
  <si>
    <t>https://ieeexplore.ieee.org/stamp/stamp.jsp?arnumber=10612585</t>
  </si>
  <si>
    <t>In this paper, we introduce a Development and Operations (DevOps)-based IoT system tailored for the dynamic management of firmware and AI models across distributed IoT environments. The system offers scalability, resource efficiency, and cost-effectiveness for updating the AI model and firmware on the IoT devices without a need for human intervention. To accomplish this, we have developed a continuous integration and continuous deployment (CI/CD) pipelines that operate across multiple platforms, leveraging the capabilities of Kubernetes and GitLab-Runner. Moreover, the system is specifically designed for Microcontroller-based low-power devices capable of running tiny AI models. The new deployment is sent to the IoT devices despite their location to start interacting with the surrounding environment and perform predictions regarding its application. Through empirical experiments, we demonstrate the system effectiveness with promising results in terms of scalability, resource utilization, and deployment efficiency.</t>
  </si>
  <si>
    <t>IoT;AI;DevOps;Kubernetes;GitLab;Microservices;Microcontroller;Micropython</t>
  </si>
  <si>
    <t>2024 9th International Conference on Smart and Sustainable Technologies (SpliTech)</t>
  </si>
  <si>
    <t>Introduces a DevOps-based CI/CD system using Kubernetes and GitLab-Runner for automated firmware and AI model management on low-power microcontroller IoT devices, with empirical experiments.</t>
  </si>
  <si>
    <t>low-power microcontroller IoT devices (firmware/AI model updates)</t>
  </si>
  <si>
    <t>CI/CD pipelines</t>
  </si>
  <si>
    <t>Kubernetes; GitLab-Runner; MicroPython</t>
  </si>
  <si>
    <t>An Actuation Conflicts Management Flow for Smart IoT-based Systems</t>
  </si>
  <si>
    <t>G. Rocher; T. Gonnin; F. Dechavanne; S. Lavirotte; J. -Y. Tigli; L. Capocchi; J. -F. Santucci</t>
  </si>
  <si>
    <t>10.1109/IOTSMS52051.2020.9340196</t>
  </si>
  <si>
    <t>https://ieeexplore.ieee.org/stamp/stamp.jsp?arnumber=9340196</t>
  </si>
  <si>
    <t>IoT-based applications have long been limited to collecting field information; at the edge of their underlying infrastructure, IoT devices utilization is mainly motivated by their capacity at gathering environmental information from sensors as means to support users in decision making. However, in numerous domains like home automation, smart factory, intelligent transportation systems, etc., so-called `smart' IoT-based applications also involve devices interacting with the physical environment through actuators. Throughout their life cycle, from the design, the deployment to operation, the ability to prevent conflicting actuation commands and antagonistic effects (possibly harmful), represents a new challenge in the realm of trustworthy smart IoT-based applications. In this paper, we introduce a complete flow for identifying and resolving actuation conflicts at design time. The proposed approach is part of the DevOps software development life cycle. It advocates the reuse of conflict management solutions through local resolution strategies, considering asynchronous timings of targeted hardware platforms they are deployed on. An illustration of the flow is provided on a use-case.</t>
  </si>
  <si>
    <t>IoT;actuation conflicts;features interaction;model driven engineering;trustworthiness;Discrete Event Specification Formalism;DevOps</t>
  </si>
  <si>
    <t>2020 7th International Conference on Internet of Things: Systems, Management and Security (IOTSMS)</t>
  </si>
  <si>
    <t>Proposes an actuation conflict management flow explicitly situated within the DevOps lifecycle for smart IoT-based systems.</t>
  </si>
  <si>
    <t>smart IoT actuator-based applications (home automation, smart factory, ITS)</t>
  </si>
  <si>
    <t>DevOps-lifecycle design-time conflict resolution</t>
  </si>
  <si>
    <t>An approach to build e-health iot reactive multi-services based on technologies around cloud computing for elderly care in smart city homes</t>
  </si>
  <si>
    <t>Pérez L.J.; Salvachúa J.</t>
  </si>
  <si>
    <t>10.3390/app11115172</t>
  </si>
  <si>
    <t>https://www.scopus.com/pages/publications/85107743176?origin=resultslist</t>
  </si>
  <si>
    <t>Although there are e-health systems for the care of elderly people, the reactive characteristics to enhance scalability and extensibility, and the use of this type of system in smart cities, have been little explored. To date, some studies have presented healthcare systems for specific purposes without an explicit approach for the development of health services. Moreover, software engineering is hindered by agile management challenges regarding development and deployment processes of new applications. This paper presents an approach to develop health Internet of Things (IoT) reactive applications that can be widely used in smart cities for the care of elderly individuals. The proposed approach is based on the Rozanski and Woods’s iterative architectural design process, the use of architectural patterns, and the Reactive Manifesto Principles. Furthermore, domain-driven design and the characteristics of the emerging fast data architecture are used to adapt the functionalities of services around the IoT, big data, and cloud computing paradigms. In addition, development and deployment processes are proposed as a set of tasks through DevOps techniques. The approach validation was carried out through the implementation of several e-health services, and various workload experiments were performed to measure scalability and performance in certain parts of the architecture. The system obtained is flexible, scalable, and capable of handling the data flow in near real time. Such features are useful for users who work collaboratively in the care of elderly people. With the accomplishment of these results, one can envision using this approach for building other e-health services. © 2021 by the author. Licensee MDPI, Basel, Switzerland.</t>
  </si>
  <si>
    <t>Applied Sciences (Switzerland)</t>
  </si>
  <si>
    <t>Presents a concrete approach for developing IoT health applications in smart cities that explicitly incorporates DevOps techniques for development and deployment processes.</t>
  </si>
  <si>
    <t>e-health IoT (elderly care, smart city)</t>
  </si>
  <si>
    <t>DevOps development/deployment tasks</t>
  </si>
  <si>
    <t>CloudOps: Towards the Operationalization of the Cloud Continuum: Concepts, Challenges and a Reference Framework</t>
  </si>
  <si>
    <t>Alonso J.; Orue-Echevarria L.; Huarte M.</t>
  </si>
  <si>
    <t>10.3390/app12094347</t>
  </si>
  <si>
    <t>https://www.scopus.com/pages/publications/85129018309?origin=resultslist</t>
  </si>
  <si>
    <t>The current trend of developing highly distributed, context aware, heterogeneous computing intense and data-sensitive applications is changing the boundaries of cloud computing. Encouraged by the growing IoT paradigm and with flexible edge devices available, an ecosystem of a combination of resources, ranging from high density compute and storage to very lightweight embedded computers running on batteries or solar power, is available for DevOps teams from what is known as the Cloud Continuum. In this dynamic context, manageability is key, as well as controlled operations and resources monitoring for handling anomalies. Unfortunately, the operation and management of such heterogeneous computing environments (including edge, cloud and network services) is complex and operators face challenges such as the continuous optimization and autonomous (re-)deployment of context-aware stateless and stateful applications where, however, they must ensure service continuity while anticipating potential failures in the underlying infrastructure. In this paper, we propose a novel CloudOps workflow (extending the traditional DevOps pipeline), proposing techniques and methods for applications’ operators to fully embrace the possibilities of the Cloud Continuum. Our approach will support DevOps teams in the operationalization of the Cloud Continuum. Secondly, we provide an extensive explanation of the scope, possibilities and future of the CloudOps. © 2022 by the authors. Licensee MDPI, Basel, Switzerland.</t>
  </si>
  <si>
    <t>Proposes a CloudOps workflow extending DevOps pipelines specifically for heterogeneous IoT/edge/cloud continuum environments, addressing operational challenges and deployment practices.</t>
  </si>
  <si>
    <t>cloud/edge/IoT continuum (generic)</t>
  </si>
  <si>
    <t>CloudOps workflow (extends DevOps pipeline); resource monitoring/redeployment</t>
  </si>
  <si>
    <t>Continuous Delivery of Customized SaaS Edge Applications in Highly Distributed IoT Systems</t>
  </si>
  <si>
    <t>R. López-Viana; J. Díaz; V. H. Díaz; J. -F. Martínez</t>
  </si>
  <si>
    <t>10.1109/JIOT.2020.3009633</t>
  </si>
  <si>
    <t>https://ieeexplore.ieee.org/stamp/stamp.jsp?arnumber=9142209</t>
  </si>
  <si>
    <t>Edge computing is a reality for the current IoT systems that need fast processing and quick response time to make real-time decisions and IoT systems without permanent connectivity to the cloud (e.g., car manufacturing, precision agriculture, or cattle raising). Additionally, these industries are facing the need for rapid and continuous innovation by accelerating the delivery of over-the-air (OTA) software updates in edge devices. DevOps promotes collaboration between development and operation teams and automation at all steps of software construction to achieve continuous delivery (CD) of business value. Although DevOps has demonstrated numerous successful cases in the Web domain, in the IoT domain and, more specifically, at the edge, there are few reported cases. This work presents a success case of CD of customized software as a service software as a service (SaaS) updates at the IoT Edge. This may enable new business models at the IoT Edge. This article presents an architectural model of a highly distributed (cloud and edge) IoT system and a CD process flow for customized SaaS applications in edge nodes. Both the architectural model and the CD process flow are instantiated in a case study for precision agriculture.</t>
  </si>
  <si>
    <t>Continuous delivery (CD);DevOps;edge computing;IoT systems;software as a service (SaaS)</t>
  </si>
  <si>
    <t>IEEE Internet of Things Journal</t>
  </si>
  <si>
    <t>Presents a validated success case of continuous delivery for IoT edge applications, including an architectural model and CD process flow for OTA updates in distributed IoT systems.</t>
  </si>
  <si>
    <t>precision agriculture / cattle raising edge IoT</t>
  </si>
  <si>
    <t>continuous delivery (CD); OTA updates</t>
  </si>
  <si>
    <t>Continuous Deployment in IoT Edge Computing : A GitOps implementation</t>
  </si>
  <si>
    <t>R. López-Viana; J. Díaz; J. E. Pérez</t>
  </si>
  <si>
    <t>10.23919/CISTI54924.2022.9820108</t>
  </si>
  <si>
    <t>https://ieeexplore.ieee.org/stamp/stamp.jsp?arnumber=9820108</t>
  </si>
  <si>
    <t>Edge computing (EC) is a recent computing paradigm in the IoT domain for performing calculations and processing at the edge of the network, closer to the user instead of moving all data to the cloud. In this way, EC practitioners aim to replicate the benefits of cloud computing but closer to the source of the data, reducing the latency imposed by the distance between the cloud and the end devices, the network overhead, and the security and privacy risk that this offloading entails. But not only that. EC practitioners also aim to replicate best practices used on cloud-native development and operation. In this regard, GitOps is one of the main trends in the DevOps ecosystem for Continuous Deployment (CD) that promotes infrastructure automation in highly distributed applications, accelerating value delivery while avoiding error-prone manual processes. Till now, GitOps has been mainly related to Kubernetes—a widely used container orchestration platform to run distributed applications resiliently. In this regard, more and more IoT EC solutions are implementing container orchestration solutions like Kubernetes, thus, it is worthwhile identifying the benefits that GitOps adoption could leverage at the Edge and how possible challenges and drawbacks could be addressed. This paper presents a proof of concept based on tools included in the Cloud Native Computing Foundation (CNCF) landscape to check the feasibility of applying GtiOps in IoT EC solutions. Several drawbacks were detected mainly due to the used tooling, such as lack of automatic provisioning of physical infrastructure, tight coupled to Kubernetes descriptors for declaring workloads, and limitations on the edge devices that can be supported.</t>
  </si>
  <si>
    <t>GitOps;DevOps;IoT;IoT Edge Computing</t>
  </si>
  <si>
    <t>2022 17th Iberian Conference on Information Systems and Technologies (CISTI)</t>
  </si>
  <si>
    <t>Directly addresses GitOps-based continuous deployment for IoT edge computing, covering motivations, practices, and tooling for DevOps+IoT integration with substantive depth.</t>
  </si>
  <si>
    <t>GitOps; continuous deployment</t>
  </si>
  <si>
    <t>Kubernetes; CNCF landscape tools</t>
  </si>
  <si>
    <t>Continuous Testing in the Development of IoT Applications</t>
  </si>
  <si>
    <t>L. G. Guşeilă; D. -V. Bratu; S. -A. Moraru</t>
  </si>
  <si>
    <t>10.1109/ISSI47111.2019.9043692</t>
  </si>
  <si>
    <t>https://ieeexplore.ieee.org/stamp/stamp.jsp?arnumber=9043692</t>
  </si>
  <si>
    <t>Internet-of-Things has evolved with the increased volume of data of interconnecting the physical world to the Internet. Cloud provides the underlying power for IoT to become a disrupting technology, revolutionizing the cloud, as we know it. IoT applications need to adapt frequently and rapidly to new requests. Increasing competition and rapidly changing market needs require from nowadays companies' flexibility and fast time to market of their products. To achieve these goals more and more organizations are relying on new IT technologies and software development processes. Though there are many publications around DevOps as a methodology and the use of a process for continuous integration and continuous development, there are fewer solutions provided which incorporate a software delivery pipeline incorporating all processes: continuous business planning, agile development, continuous integration, continuous deployment and continuous testing. The paper proposes a DevOps architecture and agile tools to be used in the implementation of a fully integrated DevOps pipeline based on open-source. Furthermore, continuous testing is covering test best practices and methods, which along with the DevOps pipeline can be widely implemented in any cloud environment, regardless of the cloud provider chosen.</t>
  </si>
  <si>
    <t>IoT;Cloud Computing;Agile Development;DevOps;Continuous Integration;Continuous Development;Continuous Testing;Automated Testing</t>
  </si>
  <si>
    <t>Proposes a fully integrated DevOps pipeline with continuous testing specifically for IoT application development, addressing motivations, practices, and open-source tooling for DevOps+IoT integration.</t>
  </si>
  <si>
    <t>generic IoT applications (cloud-based)</t>
  </si>
  <si>
    <t>DevOps pipeline; continuous integration; continuous deployment; continuous testing</t>
  </si>
  <si>
    <t>open-source (unspecified)</t>
  </si>
  <si>
    <t>Cost-optimized Internet of Things application deployment in edge computing environment</t>
  </si>
  <si>
    <t>Tang, B; Zhang, XY; Yang, Q; Qi, X; Alqahtani, F; Tolba, A</t>
  </si>
  <si>
    <t>10.1002/dac.5618</t>
  </si>
  <si>
    <t>With the increasing popularity of cloud native and DevOps, container technology has become widely used in combination with microservices. However, deploying container-based microservices in distributed edge-cloud infrastructure requires complex selection strategies to ensure high-quality service for users. Existing container orchestration tools lack flexibility in selecting the best deployment location based on user cost budgets and are insufficient in providing personalized deployment solutions. This paper proposes a genetic algorithm-based Internet of Things (IoT) application deployment and selection strategy for personalized cost budgets. The application deployment problem is defined as an optimization problem that minimizes user service latency under cost constraints, which is an NP-hard problem. The genetic algorithm is introduced to solve this problem effectively and improve deployment efficiency. Comparative results show that the proposed algorithm outperforms four baseline algorithms, including time-greedy, cost-greedy, random, and PSO, using real datasets and some synthetic datasets. The proposed algorithm provides personalized deployment solutions for edge-cloud infrastructure. © 2023 John Wiley &amp; Sons Ltd.</t>
  </si>
  <si>
    <t>International Journal of Communication Systems</t>
  </si>
  <si>
    <t>Addresses IoT application deployment optimization in edge-cloud infrastructure in the context of cloud-native and DevOps container practices, though DevOps is framed as background motivation rather than the central research contribution.</t>
  </si>
  <si>
    <t>edge-cloud IoT application deployment (cost optimization)</t>
  </si>
  <si>
    <t>container orchestration; cloud-native/DevOps practices (background)</t>
  </si>
  <si>
    <t>Creating It from SCRATCh: A Practical Approach for Enhancing the Security of IoT-Systems in a DevOps-Enabled Software Development Environment</t>
  </si>
  <si>
    <t>Anton, SDD; Fraunholz, D; Krohmer, D; Reti, D; Schotten, HD; Selgert, F; Marosvölgyi, M; Larsen, M; Sudhakar, K; Koch, T; Witt, T; Bassem, C</t>
  </si>
  <si>
    <t>10.1007/978-3-030-55583-2_20</t>
  </si>
  <si>
    <t>DevOps describes a method to reorganize the way different disciplines in software engineering work together to speed up software delivery. However, the introduction of DevOps-methods to organisations is a complex task. A successful introduction results in a set of structured process descriptions. Despite the structure, this process leaves margin for error: Especially security issues are addressed in individual stages, without consideration of the interdependence. Furthermore, applying DevOps-methods to distributed entities, such as the Internet of Things (IoT) is difficult as the architecture is tailormade for desktop and cloud resources. In this work, an overview of tooling employed in the stages of DevOps processes is introduced. Gaps in terms of security or applicability to the IoT are derived. Based on these gaps, solutions that are being developed in the course of the research project SCRATCh are presented and discussed in terms of benefit to DevOps-environments. © 2020, Springer Nature Switzerland AG.</t>
  </si>
  <si>
    <t>Directly addresses security gaps in DevOps processes applied to IoT, presenting tools and solutions developed specifically for DevOps+IoT environments.</t>
  </si>
  <si>
    <t>distributed IoT entities (generic)</t>
  </si>
  <si>
    <t>DevOps tooling-gap analysis; security integration across stages</t>
  </si>
  <si>
    <t>SCRATCh project tooling</t>
  </si>
  <si>
    <t>DeepRIoT: Continuous Integration and Deployment of Robotic-IoT Applications</t>
  </si>
  <si>
    <t>Qu M.; He J.; Tucaković Z.; Bartocci E.; Ničković D.; Isaković H.; Grosu R.</t>
  </si>
  <si>
    <t>10.1145/3649329.3658250</t>
  </si>
  <si>
    <t>https://www.scopus.com/inward/record.uri?eid=2-s2.0-85211103973&amp;doi=10.1145%2f3649329.3658250&amp;partnerID=40&amp;md5=0cf50c1235537e8bc30c57d730a6fe7c</t>
  </si>
  <si>
    <t>We present DeepRIoT, a continuous integration and continuous deployment (CI/CD) based architecture that accelerates the learning and deployment of a Robotic-IoT system trained from deep reinforcement learning (RL). We adopted a multi-stage approach that agilely trains a multi-objective RL controller in the simulator. We then collected traces from the real robot to optimize its plant model, and used transfer learning to adapt the controller to the updated model. We automated our framework through CI/CD pipelines, and finally, with low cost, succeeded in deploying our controller in a real F1tenth car that is able to reach the goal and avoid collision from a virtual car through mixed reality.</t>
  </si>
  <si>
    <t>deep reinforcement learning, Sim2Real, DevOps, CI/CD</t>
  </si>
  <si>
    <t>Proceedings of the 61st ACM/IEEE Design Automation Conference</t>
  </si>
  <si>
    <t>Association for Computing Machinery</t>
  </si>
  <si>
    <t>Directly presents a CI/CD-based architecture (DeepRIoT) for continuous integration and deployment of Robotic-IoT applications, substantially addressing DevOps+IoT integration with empirical validation.</t>
  </si>
  <si>
    <t>Robotic-IoT (F1tenth robotic car)</t>
  </si>
  <si>
    <t>CI/CD pipelines; automated deployment</t>
  </si>
  <si>
    <t>not specified (custom framework)</t>
  </si>
  <si>
    <t>Design Concepts of the ASSIST-IoT Smart Orchestrator for Managing the Realization of NGIoT Systems</t>
  </si>
  <si>
    <t>A. Fornes-Leal; F. M. Biot; R. Vaño; R. R. Simón; P. Szmeja; I. Lacalle; C. E. Palau</t>
  </si>
  <si>
    <t>10.1109/WF-IoT58464.2023.10539440</t>
  </si>
  <si>
    <t>https://ieeexplore.ieee.org/stamp/stamp.jsp?arnumber=10539440</t>
  </si>
  <si>
    <t>This paper presents the design of the ASSIST-IoT's smart orchestrator. This solution aims at controlling the lifecycle of next-generation IoT enablers in distributed, multi-cluster environments, easing the communication of such enablers and increasing the overall network security. The presented high-level architecture is based on three main design concepts: cloud-nativeness, encapsulation, and automation. A preliminary realization of such architecture is described, along with some graphical interfaces specifically developed to manage it. Its practical use has served for validating its expected performance, allowing the instantiation and communication of enablers in Kubernetes-based distributed ecosystems, and has shown some potential areas of improvement: better support to broader number of use cases, optimization of installation procedures considering a unique packaging format, and enabling the integration of DevOps tools for both automated system and enablers' upgrading.</t>
  </si>
  <si>
    <t>orchestration;NGIoT;virtualization;Kubernetes</t>
  </si>
  <si>
    <t>2023 IEEE 9th World Forum on Internet of Things (WF-IoT)</t>
  </si>
  <si>
    <t>Presents a smart orchestrator for next-generation IoT systems that explicitly mentions integration of DevOps tools for automated upgrading of IoT enablers in distributed Kubernetes environments.</t>
  </si>
  <si>
    <t>next-generation IoT (NGIoT) multi-cluster enablers</t>
  </si>
  <si>
    <t>orchestration automation; DevOps tool integration (future work)</t>
  </si>
  <si>
    <t>Development of Artificial Intelligence Supported Tool for Anomaly Detection in Cloud Computing Systems</t>
  </si>
  <si>
    <t>G. Aktas; B. Ipek; E. Ali Konukoglu; Y. Aydin</t>
  </si>
  <si>
    <t>10.1109/ICECCE61019.2023.10442490</t>
  </si>
  <si>
    <t>https://ieeexplore.ieee.org/stamp/stamp.jsp?arnumber=10442490</t>
  </si>
  <si>
    <t>In the rapidly evolving landscape of Internet of Things (IoT) and Cloud systems, the complexity and scale of these technologies demand innovative solutions for efficient error detection and management. This paper proposes a robust framework for anomaly detection in cloud computing systems, emphasizing the critical role of automation and artificial intelligence (AI). The approach integrates Continuous Integration, Continuous Deployment (CICD) principles with AI-driven anomaly detection techniques to enhance system reliability and minimize risks. The study introduces a novel method employing one-dimensional convolutional layers and Autoencoder architecture to preprocess and analyze system metrics, enabling the development of an adaptive and customized anomaly detection system. The proposed framework is implemented through a Python-based agent, utilizing specific libraries and Continuous Integration/Continuous Deployment (CI/CD) processes executed via Jenkins. The agent is tested and deployed on Kubernetes, demonstrating its effectiveness in dynamic and complex environments. The results highlight the significance of iterative optimization, emphasizing continuous monitoring and adaptation for ensuring the robustness and reliability of cloud computing systems. This research contributes valuable insights into enhancing the efficiency of anomaly detection in large-scale cloud systems, paving the way for further advancements in the field of IoT and cloud technologies.</t>
  </si>
  <si>
    <t>cloud;artificial intelligent;monitoring;devops</t>
  </si>
  <si>
    <t>2023 International Conference on Electrical, Communication and Computer Engineering (ICECCE)</t>
  </si>
  <si>
    <t>Integrates CI/CD principles with AI-driven anomaly detection deployed on Kubernetes for IoT/cloud systems, addressing DevOps tooling and practices in an IoT-adjacent context, though IoT is framing rather than the central focus.</t>
  </si>
  <si>
    <t>IoT/cloud systems (generic anomaly monitoring)</t>
  </si>
  <si>
    <t>CI/CD</t>
  </si>
  <si>
    <t>Jenkins; Kubernetes; Python</t>
  </si>
  <si>
    <t>DevOps Contract for Assuring Execution of IoT Microservices in the Edge</t>
  </si>
  <si>
    <t>Truong H.-L.; Klein P.</t>
  </si>
  <si>
    <t>10.1016/j.iot.2019.100150</t>
  </si>
  <si>
    <t>https://www.scopus.com/pages/publications/85087172820?origin=resultslist</t>
  </si>
  <si>
    <t>The increasing availability of edge and IoT infrastructure-as-a-service allows us to develop lightweight IoT components and deploy them into edge/IoT infrastructures, enabling edge analytics and controls. This paper introduces the development of service contracts for IoT microservices from DevOps perspectives. We analyze stakeholders and present our methods to support stakeholders to program IoT service contracts. We address the diversity of service contracts by using common languages for IoT data and programming. We integrate the development and operation lifecycle of IoT contracts with IoT software components and with supporting DevOps services. To illustrate our approach, we use a real-world Base Transceiver Station maintenance application with Raspberry Pi, Java, JavaScript, JSON and other microservices. © 2019</t>
  </si>
  <si>
    <t>Internet of Things (Netherlands)</t>
  </si>
  <si>
    <t>Directly addresses DevOps lifecycle integration with IoT microservices and service contracts, with a real-world edge/IoT deployment example.</t>
  </si>
  <si>
    <t>IoT edge microservices (Base Transceiver Station maintenance)</t>
  </si>
  <si>
    <t>DevOps service contracts; dev/ops lifecycle integration</t>
  </si>
  <si>
    <t>Raspberry Pi; Java; JavaScript; JSON</t>
  </si>
  <si>
    <t>DevOps for IoT Applications Using Cellular Networks and Cloud</t>
  </si>
  <si>
    <t>A. Karapantelakis; H. Liang; K. Wang; K. Vandikas; R. Inam; E. Fersman; I. Mulas-Viela; N. Seyvet; V. Giannokostas</t>
  </si>
  <si>
    <t>10.1109/FiCloud.2016.55</t>
  </si>
  <si>
    <t>https://ieeexplore.ieee.org/stamp/stamp.jsp?arnumber=7575883</t>
  </si>
  <si>
    <t>The Internet of Things (IoT) is a vision of a future society where an ever-increasing number of heterogeneous physical devices ("things") obtain Internet connectivity, thus enabling a large number of applications for a broad range of industries and society at large. Mobile network operators, expected to provide the network infrastructure for many of these applications, face an unprecedented level of complexity. This complexity not only relates to the number of applications that share the network infrastructure, but also to the different network Quality of Service (QoS) requirements these applications have. To achieve economies of scale, automation in management of those applications throughout their lifecycle is essential. In this paper, we propose an architecture that automates allocation, monitoring and deallocation of both cloud and cellular network resources to ensure QoS for applications that involve connected devices communicating with cloud-hosted software. We describe an implementation of this architecture using a combination of open source, commercial, and custom components and evaluate it through a series of measurements. Results show that our implementation can simultaneously support mobile broadband and low latency, high availability mission-critical applications.</t>
  </si>
  <si>
    <t>5G;Cloud;Internet of Things;Network Slicing;DevOps;Resource Orchestration;Automation</t>
  </si>
  <si>
    <t>2016 IEEE 4th International Conference on Future Internet of Things and Cloud (FiCloud)</t>
  </si>
  <si>
    <t>Proposes and evaluates a concrete architecture automating IoT application lifecycle management using DevOps principles across cellular networks and cloud, with empirical measurements.</t>
  </si>
  <si>
    <t>cellular/5G-connected IoT devices</t>
  </si>
  <si>
    <t>lifecycle automation (allocation/monitoring/deallocation)</t>
  </si>
  <si>
    <t>not specified (open-source + commercial + custom components)</t>
  </si>
  <si>
    <t>DevOps for IoT Systems: Fast and Continuous Monitoring Feedback of System Availability</t>
  </si>
  <si>
    <t>M. A. López-Peña; J. Díaz; J. E. Pérez; H. Humanes</t>
  </si>
  <si>
    <t>10.1109/JIOT.2020.3012763</t>
  </si>
  <si>
    <t>https://ieeexplore.ieee.org/stamp/stamp.jsp?arnumber=9151987</t>
  </si>
  <si>
    <t>Current Internet-of-Things (IoT) systems are highly distributed systems, which integrate cloud, fog, and edge computing approaches. Accelerating their maintenance and continuous improvement, while ensuring their availability, is complex. DevOps promotes fast and continuous feedback from operations to development to detect problems before customers are impacted, among other benefits. However, there is not any formal definition of how to do this. This article defines the “fast and continuous monitoring feedback of system availability” activity (F&amp;CF availability) that supports automatic and continuous monitoring feedback from operations to the development of the IoT system availability. This activity has been formalized through the software and systems process engineering metamodel (SPEM). Its implementation is demonstrated in a real scenario that provides evidence that the formalization of the F&amp;CF availability activity helps teams in better diagnosing and fixing outage problems. The result is a distributed and configurable monitoring component developed through code [monitoring as code (MaC)]. This component is embedded in the IoT infrastructure. MaC enables DevOps team to configure their own metrics and indicators at runtime, i.e., monitoring on demand. The formalization of this activity, based on an MaC technique, enables the automation, versioning, and replication of monitoring elements.</t>
  </si>
  <si>
    <t>Availability;continuous monitoring;DevOps;fast and continuous feedback activity;Internet-of-Things (IoT) systems</t>
  </si>
  <si>
    <t>Directly defines and formalizes a DevOps monitoring feedback activity for IoT systems, with empirical demonstration and a concrete monitoring-as-code implementation.</t>
  </si>
  <si>
    <t>distributed IoT systems (cloud/fog/edge)</t>
  </si>
  <si>
    <t>monitoring-as-code (MaC); continuous feedback, formalized via SPEM</t>
  </si>
  <si>
    <t>DevOps for the urban IoT</t>
  </si>
  <si>
    <t>Moore J.; Kortuem G.; Smith A.; Chowdhury N.; Cavero J.; Gooch D.</t>
  </si>
  <si>
    <t>10.1145/2962735.2962747</t>
  </si>
  <si>
    <t>https://www.scopus.com/pages/publications/84985914450?origin=resultslist</t>
  </si>
  <si>
    <t>Choosing the right technologies to build an urban-scale IoT system can be challenging. There is often a focus on low-level architectural details such as the scalability of message handling. In our experience building an IoT information system requires a high-level holistic approach that mixes traditional data collection from vendor-specific cloud backends, together with data collected directly from embedded hardware and mobile devices. Supporting this heterogeneous environment can prove challenging and lead to complex systems that are difficult to develop and deploy in a timely fashion. In this paper we describe how we address these challenges by proposing a three-tiered DevOps model which we used to build an information system that is capable of providing real-time analytics of Electric Vehicle (EV) mobility usage and management within a smart city project. © 2016 ACM.</t>
  </si>
  <si>
    <t>Directly proposes and applies a three-tiered DevOps model for building an urban-scale IoT information system, addressing motivations, practices, and architectural tools for DevOps+IoT integration.</t>
  </si>
  <si>
    <t>urban-scale smart-city IoT (EV mobility)</t>
  </si>
  <si>
    <t>three-tiered DevOps model</t>
  </si>
  <si>
    <t>Dockemu: Extension of a scalable network simulation framework based on docker and ns3 to cover iot scenarios</t>
  </si>
  <si>
    <t>Portabales A.R.; Nores M.L.</t>
  </si>
  <si>
    <t>10.5220/0006913601750182</t>
  </si>
  <si>
    <t>https://www.scopus.com/pages/publications/85071553858?origin=resultslist</t>
  </si>
  <si>
    <t>The purpose of this project was to extend an existing open-source simulation framework called Dockemu in order to make it suitable to perform IoT simulations. The work covered some improvements with goes from the support of more network technologies to the use of setup and deployment tools used by modern devops professionals. The paper explains the architecture, the newly-added features and the specific advantages it offers for research works in IoT network simulations. Copyright © 2018 by SCITEPRESS-Science and Technology Publications, Lda. All rights reserved.</t>
  </si>
  <si>
    <t>SIMULTECH 2018 - Proceedings of 8th International Conference on Simulation and Modeling Methodologies, Technologies and Applications</t>
  </si>
  <si>
    <t>Extends a network simulation framework for IoT scenarios using DevOps deployment tools, but the DevOps integration is limited to tooling adoption rather than a substantive contribution to DevOps+IoT practices.</t>
  </si>
  <si>
    <t>IoT network simulation scenarios</t>
  </si>
  <si>
    <t>DevOps setup/deployment tooling (limited)</t>
  </si>
  <si>
    <t>Docker; ns-3</t>
  </si>
  <si>
    <t>Edge Anomaly Detection Framework for AIOps in Cloud and IoT</t>
  </si>
  <si>
    <t>Moens P.; Andriessen B.; Sebrechts M.; Volckaert B.; Van Hoecke S.</t>
  </si>
  <si>
    <t>10.5220/0011838600003488</t>
  </si>
  <si>
    <t>https://www.scopus.com/pages/publications/85160778762?origin=resultslist</t>
  </si>
  <si>
    <t>Artificial Intelligence for IT Operations (AIOps) addresses the rising complexity of cloud computing and Internet of Things by assisting DevOps engineers to monitor and maintain applications. Machine Learning is an essential part of AIOps, enabling it to perform Anomaly Detection and Root Cause Analysis. These techniques are often executed in centralized components, however, which requires transferring vast amounts of data to a central location. This increase in network traffic causes strain on the network and results in higher latency. This paper leverages edge computing to address this issue by deploying ML models closer to the monitored services, reducing the network overhead. This paper investigates two architectural approaches: a sidecar architecture and a federated architecture, and highlights their advantages and shortcomings in different scenarios. Taking this into account, it proposes a framework that orchestrates the deployment and management of distributed edge ML models. Additionally, the paper introduces a Python library to assist data scientists during the development of AIOps techniques and concludes with a thorough evaluation of the resulting framework towards resource consumption and scalability. The results indicate up to 98.3% reduction in network usage depending on the configuration used while maintaining a minimal increase in resource usage at the edge. Copyright © 2023 by SCITEPRESS – Science and Technology Publications, Lda.</t>
  </si>
  <si>
    <t>International Conference on Cloud Computing and Services Science, CLOSER - Proceedings</t>
  </si>
  <si>
    <t>Proposes an AIOps edge framework explicitly supporting DevOps engineers in IoT/cloud monitoring, addressing tools and practices for anomaly detection at the edge.</t>
  </si>
  <si>
    <t>cloud/IoT edge monitoring (AIOps)</t>
  </si>
  <si>
    <t>AIOps; ML-based anomaly detection &amp; root-cause analysis; edge ML deployment orchestration</t>
  </si>
  <si>
    <t>custom Python library</t>
  </si>
  <si>
    <t>Enabling operation data visibility for SmartX-mini IoT-cloud playground</t>
  </si>
  <si>
    <t>S. Kim; J. Kim</t>
  </si>
  <si>
    <t>10.1109/NETSOFT.2016.7502480</t>
  </si>
  <si>
    <t>https://ieeexplore.ieee.org/stamp/stamp.jsp?arnumber=7502480</t>
  </si>
  <si>
    <t>SmartX-mini playground is a miniaturized IoT-Cloud environment, where DevOps-based automation can be practiced to develop and operate various IoT-Cloud services. Enabling visibility over the targeted playground is critical for the automated operation and effective resource utilization. Thus, in this paper, by leveraging various open-source software tools over small-size boxes, we design and prototype operation data visibility for SmartX-mini IoT-Cloud playground. Typically, we focus on open-source Kafka and Spark to meet the operation data visibility requirements of SmartX-mini playground. Scenario-driven experiments are executed to evaluate the analysis capability for distributed IoT boxes.</t>
  </si>
  <si>
    <t>Testbed and playground;IoT-Cloud services;operation data visibility;instrumentation and measurement</t>
  </si>
  <si>
    <t>2016 IEEE NetSoft Conference and Workshops (NetSoft)</t>
  </si>
  <si>
    <t>Directly describes a DevOps-based automation framework for an IoT-Cloud playground, implementing operational data visibility with open-source tools in a substantive empirical prototype.</t>
  </si>
  <si>
    <t>IoT-cloud testbed/playground (SmartX-mini)</t>
  </si>
  <si>
    <t>DevOps-based automation; operation data visibility</t>
  </si>
  <si>
    <t>Kafka; Spark</t>
  </si>
  <si>
    <t>IoTDeploy: Deployment of IoT Smart Applications over the Computing Continuum</t>
  </si>
  <si>
    <t>Oliveira F.B.; Di Felice M.; Kamienski C.</t>
  </si>
  <si>
    <t>10.1016/j.iot.2024.101348</t>
  </si>
  <si>
    <t>https://www.scopus.com/pages/publications/85202997242?origin=resultslist</t>
  </si>
  <si>
    <t>IoT Smart Applications have created a demand for architectures, infrastructure, platforms, orchestration, and service deployment strategies. They are deployed from sensors to the cloud over a geographical and computing continuum, which is challenging for service orchestration and DevOps strategies. The distributed infrastructure to implement the end-to-end data path may vary, even for similar applications, concerning the services deployed over the mist, fog, edge, and cloud stages. This paper proposes and evaluates IoTDeploy, a solution for streamlining and scaling static and dynamic IoT service deployment over the continuum. IoTDeploy implements a CI/CD tool plugin for deploying applications running on the continuum and supports dynamic service migration. We evaluated the service migration from cloud to fog and fog to cloud with a case study on smart irrigation in agriculture. The experiments reveal that deployment in IoT-distributed environments is reliable and resilient, enabling migration without interrupting the application and losing data. © 2024 Elsevier B.V.</t>
  </si>
  <si>
    <t>Proposes and evaluates IoTDeploy, a CI/CD plugin specifically designed for deploying IoT smart applications across the cloud-to-edge continuum, directly addressing DevOps tooling and deployment practices for IoT with empirical evaluation.</t>
  </si>
  <si>
    <t>smart irrigation/agriculture (mist/fog/edge/cloud continuum)</t>
  </si>
  <si>
    <t>CI/CD tool plugin; dynamic service migration</t>
  </si>
  <si>
    <t>Meta-Model Approach of Applied Devops on Internet of Things Ecosystem</t>
  </si>
  <si>
    <t>B. El Khalyly; A. Belangour; A. Erraissi; M. Banane</t>
  </si>
  <si>
    <t>10.1109/ICECOCS50124.2020.9314552</t>
  </si>
  <si>
    <t>https://ieeexplore.ieee.org/stamp/stamp.jsp?arnumber=9314552</t>
  </si>
  <si>
    <t>DevOps is a software development and distribution process. It combines an entire culture of collaboration and fusion between management approach, technologies of coding and technics of integration. DevOps is a new paradigm and novel concept that is introduced in different industries that concerns software and embedded development like robotics and smart agent.The ecosystem of the Internet of Things is a set of physical devices such as sensors and actuators. It includes a set of servers and gateways that provide connectivity. These devices can be installed at three levels: the edge level, the fog level and the cloud level. Applications that monitor things and collect data from sensors are deployed at the edge, fog and cloud levels. These applications can be containerized and deployed in different devices by Docker, which takes advantage of its advantage to create executable containers that are isolated from each other. This paper presents a generic metamodel of the Internet of Things ecosystem based on microservices and supported by Docker as a containerization tool and Ansible as a monitoring tool. This metamodel allows us to generate a system of connected objects that can be deployed on three levels: Fog, Edge, Cloud. This metamodel can be used in different types of domains such as Smart Home - Smart City - Smart Vehicle - Smart Health - Smart Farm - Smart Factory. The metamodel proposed in this article is a fusion between 5 metamodels: Internet of Things - Microservices - Ansible - Docker - Kubernetes.</t>
  </si>
  <si>
    <t>Model Driven Engineering;metamodeling;Microservices;Internet of Things;Devops;Docker;Ansible;Kubernetes</t>
  </si>
  <si>
    <t>Presents a metamodel for IoT ecosystems using microservices, Docker, and Ansible within a DevOps framing, though the DevOps integration is conceptual rather than empirically validated.</t>
  </si>
  <si>
    <t>generic IoT ecosystem (smart home/city/vehicle/health/farm/factory)</t>
  </si>
  <si>
    <t>containerization/monitoring metamodel</t>
  </si>
  <si>
    <t>Docker; Ansible; Kubernetes</t>
  </si>
  <si>
    <t>Microservices and DevOps for Optimal Benefits from IoT in Manufacturing</t>
  </si>
  <si>
    <t>Choudhry A.; Premchand A.</t>
  </si>
  <si>
    <t>10.1007/978-981-15-7234-0_33</t>
  </si>
  <si>
    <t>https://www.scopus.com/inward/record.uri?eid=2-s2.0-85096423479&amp;doi=10.1007%2f978-981-15-7234-0_33&amp;partnerID=40&amp;md5=79f4143cea35de26446fb08cdff97954</t>
  </si>
  <si>
    <t>Internet of Things (IoT) is not a pipe dream anymore. The trajectory of growth in the Internet of Things (IoT) space has been nothing short of phenomenal in the last few years. It is envisaged to keep a similar pace of growth for the next few years. This paper looks at Microservices and DevOps as relevant levers for faster adoption of IoT as well as for following the path of least resistance keeping in mind factors like future growth, pervasiveness, miniaturization, economics, etc. This paper proposes that usage of DevOps and Microservices is essential for eliciting maximum benefits from IoT and suggests a framework for the same. It also discusses the combined effects and benefits of IoT, Microservices, and DevOps. © 2021, Springer Nature Singapore Pte Ltd.</t>
  </si>
  <si>
    <t>Advances in Intelligent Systems and Computing</t>
  </si>
  <si>
    <t>Directly proposes a framework combining DevOps and microservices as essential levers for IoT adoption in manufacturing, with explicit discussion of combined benefits and integration rationale.</t>
  </si>
  <si>
    <t>IoT in manufacturing</t>
  </si>
  <si>
    <t>microservices + DevOps framework</t>
  </si>
  <si>
    <t>Migrating from Microservices to Serverless: An IoT Platform Case Study</t>
  </si>
  <si>
    <t>Chadha M.; Pacyna V.; Jindal A.; Gu J.; Gerndt M.</t>
  </si>
  <si>
    <t>10.1145/3565382.3565881</t>
  </si>
  <si>
    <t>https://www.scopus.com/pages/publications/85145557445?origin=resultslist</t>
  </si>
  <si>
    <t>Microservice architecture is the common choice for developing cloud applications these days since each individual microservice can be independently modified, replaced, and scaled. As a result, application development and operating cloud infrastructure were bundled together into what is now commonly called DevOps. However, with the increasing popularity of the serverless computing paradigm and its several advantages such as no infrastructure management, a pay-per-use billing policy, and on-demand fine-grained autoscaling, there is a growing interest in utilizing FaaS and server-less CaaS technologies for refactoring microservices-based applications. Towards this, we migrate a complex IoT platform application onto OpenWhisk (OW) and Google Cloud Run (GCR). We comprehensively evaluate the performance of the different deployment strategies, i.e., Google Kubernetes Engine (GKE)-Standard, OW, and GCR for the IoT platform using different load testing scenarios. Results from our experiments show that while GKE standard performs best for most scenarios, GCR is always cheaper wrt costs.  © 2022 ACM.</t>
  </si>
  <si>
    <t>WoSC 2022 - Proceedings of the 8th International Workshop on Serverless Computing, Part of Middleware 2022</t>
  </si>
  <si>
    <t>Examines migration of a complex IoT platform from microservices to serverless architectures within a DevOps context, providing empirical performance evaluation across deployment strategies.</t>
  </si>
  <si>
    <t>IoT platform application (serverless migration)</t>
  </si>
  <si>
    <t>DevOps (microservices/serverless refactoring); load testing</t>
  </si>
  <si>
    <t>OpenWhisk; Google Cloud Run; Google Kubernetes Engine</t>
  </si>
  <si>
    <t>Mobile iot-edge-cloud continuum based and devops enabled software framework</t>
  </si>
  <si>
    <t>Judvaitis J.; Balass R.; Greitans M.</t>
  </si>
  <si>
    <t>10.3390/jsan10040062</t>
  </si>
  <si>
    <t>https://www.scopus.com/pages/publications/85119038134?origin=resultslist</t>
  </si>
  <si>
    <t>This research aims to provide a high-level software framework for IoT-Edge-Cloud computational continuum-based applications with support for mobile IoT and DevOps integration utilizing the Edge computing paradigms. This is achieved by dividing the system in a modular fashion and providing a loosely coupled service and module descriptions for usage in the respective system layers for flexible and yet trustworthy implementation. The article describes the software architecture for a DevOps-enabled Edge computing solution in the IoT-Edge-Cloud computational continuum with the support for flexible and mobile IoT solutions. The proposed framework is validated on an intelligent transport system use case in the rolling stock domain and showcases the improvements gained by using the proposed IoT-Edge-Cloud continuum framework. © 2021 by the authors. Licensee MDPI, Basel, Switzerland.</t>
  </si>
  <si>
    <t>Journal of Sensor and Actuator Networks</t>
  </si>
  <si>
    <t>Directly proposes a DevOps-enabled software framework for the IoT-edge-cloud continuum with mobile IoT support, validated on an intelligent transport use case, substantially addressing all three research questions.</t>
  </si>
  <si>
    <t>mobile IoT (intelligent transport system, rolling stock)</t>
  </si>
  <si>
    <t>DevOps-enabled edge-computing framework</t>
  </si>
  <si>
    <t>Model-based fleet deployment in the IoT–edge–cloud continuum</t>
  </si>
  <si>
    <t>Song H.; Dautov R.; Ferry N.; Solberg A.; Fleurey F.</t>
  </si>
  <si>
    <t>10.1007/s10270-022-01006-z</t>
  </si>
  <si>
    <t>https://www.scopus.com/pages/publications/85129268131?origin=resultslist</t>
  </si>
  <si>
    <t>With the increasing computing and networking capabilities, IoT devices and edge gateways have become part of a larger IoT–edge–cloud computing continuum, where processing and storage tasks are distributed across the whole network hierarchy, not concentrated only in the cloud. At the same time, this also introduced continuous delivery practices to the development of software components for network-connected gateways and sensing/actuating nodes. These devices are placed on end users’ premises and are characterized by continuously changing cyber-physical contexts, forcing software developers to maintain multiple application versions and frequently redeploy them on a distributed fleet of devices with respect to their current contexts. Doing this correctly and efficiently goes beyond manual capabilities and requires an intelligent and reliable automated solution. This paper describes a model-based approach to automatically assigning multiple software deployment plans to hundreds of edge gateways and connected IoT devices implemented in collaboration with a smart healthcare application provider. From a platform-specific model of an existing edge computing platform, we extract a platform-independent model that describes a list of target devices and a pool of available deployment plans. Next, we use constraint solving to automatically assign deployment plans to devices at once with respect to their specific contexts. The result is transformed back into the platform-specific model and includes a suitable deployment plan for each device, which is then consumed by our engine to deploy software components not only on edge gateways but also on their downstream IoT devices with constrained resources and connectivity. We validate the approach with a fleet deployment prototype integrated into a DevOps toolchain used by the partner application provider. Initial experiments demonstrate the viability of the approach and its usefulness in supporting DevOps for edge and IoT software development. © 2022, The Author(s).</t>
  </si>
  <si>
    <t>Software and Systems Modeling</t>
  </si>
  <si>
    <t>Directly addresses continuous delivery practices and model-based automated deployment across the IoT-edge-cloud continuum for fleets of IoT devices, with a concrete smart healthcare case study.</t>
  </si>
  <si>
    <t>IoT-edge-cloud continuum (smart-healthcare device fleet)</t>
  </si>
  <si>
    <t>model-based automated deployment; DevOps toolchain integration</t>
  </si>
  <si>
    <t>constraint solver (unspecified)</t>
  </si>
  <si>
    <t>Model-Based Systems Engineering for the Agile Life-Cycle Management of IIoT Based on DevOps</t>
  </si>
  <si>
    <t>A. Amiri; G. Steindl; W. Kastner</t>
  </si>
  <si>
    <t>10.1109/ETFA61755.2024.10711004</t>
  </si>
  <si>
    <t>https://ieeexplore.ieee.org/stamp/stamp.jsp?arnumber=10711004</t>
  </si>
  <si>
    <t>The domain of Industrial Internet of Things (IIoT) contains a vast variety of standards, protocols, tool suites, coding languages, etc. The Reference Architecture Model Industry (RAMI) 4.0 provides an abstraction of the different views involved in designing IIoT systems. However, the life-cycle model of the reference architecture suggests a progression from the development into production. This progression does not conform well with the best practices of software engineering, e.g., DevOps, where runtime data is given back to the design-time. In this paper, we suggest an agile life-cycle management of the IIoT systems, and propose an approach of Model-Based Systems Engineering (MBSE) based on the System Modeling Language (SysML) 2.0. We define metadata in the domain of event-driven IIoT systems. Architects can create tagged model instances, which are automatically validated against system requirements. The validated models are passed to an artifact generator to create code, test cases, or documentation. Our approach assists in the development and commissioning of system assets. We feed the runtime data to design-time to improve the quality of service.</t>
  </si>
  <si>
    <t>Industrial IoT;MBSE;DevOps Life Cycle</t>
  </si>
  <si>
    <t>2024 IEEE 29th International Conference on Emerging Technologies and Factory Automation (ETFA)</t>
  </si>
  <si>
    <t>Directly integrates DevOps with IIoT lifecycle management using MBSE and SysML, proposing a concrete approach that feeds runtime data back to design-time in an agile manner.</t>
  </si>
  <si>
    <t>Industrial IoT (IIoT), RAMI 4.0</t>
  </si>
  <si>
    <t>DevOps life-cycle feedback (design-time/runtime)</t>
  </si>
  <si>
    <t>SysML 2.0</t>
  </si>
  <si>
    <t>Monitoring V2X applications using DevOps and docker</t>
  </si>
  <si>
    <t>J. Rufino; M. Alam; J. Ferreira</t>
  </si>
  <si>
    <t>10.1109/ISC2.2017.8090868</t>
  </si>
  <si>
    <t>https://ieeexplore.ieee.org/stamp/stamp.jsp?arnumber=8090868</t>
  </si>
  <si>
    <t>Vehicular communications are gaining one of the largest share of the automotive IoT market. The combination of the automotive sector with the transportation resulted in the emergence of the concept of connected vehicles. Therefore, motivating new proposals for real-time applications for managing traffic and incident alerts to improve the overall mobility and road safety. The growing demand for new and better solutions lead to two of the biggest challenges faced in IoT - scalability and interoperability. Therefore in this paper, we propose an highly modular and easily distributable architecture built upon DevOps practices and relying on edge computing to enable V2X applications to be easily deployed and monitored in real-time. The architecture was implemented and a vehicular application was divided in small modules to validate the functionalities of the proposed architecture.</t>
  </si>
  <si>
    <t>Vehicular Networks;V2X;Docker;DevOps;Wireless Communication</t>
  </si>
  <si>
    <t>2017 International Smart Cities Conference (ISC2)</t>
  </si>
  <si>
    <t>Directly proposes an architecture built on DevOps practices and edge computing for deploying and monitoring IoT-based V2X vehicular applications, with implementation validation.</t>
  </si>
  <si>
    <t>vehicular/V2X IoT (connected vehicles)</t>
  </si>
  <si>
    <t>DevOps practices; edge-computing deployment/monitoring</t>
  </si>
  <si>
    <t>Preparing and Inter-Connecting Hyper-Converged SmartX Boxes for IoT-Cloud Testbed</t>
  </si>
  <si>
    <t>S. Park; B. Cha; J. Kim</t>
  </si>
  <si>
    <t>10.1109/AINA.2015.255</t>
  </si>
  <si>
    <t>https://ieeexplore.ieee.org/stamp/stamp.jsp?arnumber=7098040</t>
  </si>
  <si>
    <t>The focusing concept of Internet of Things (IoT) is quickly changing from inter-connecting uniquely-identifiable embedded devices to 'things as a service'. Thus, diverse IoT services are being incubated by software-driven frameworks and shared/virtual/programmable resources. As a beginning step, in this paper, we discuss how to prepare and inter-connect hyper-converged SmartX Boxes so that it can play the miniaturized playground for IoT-Cloud service realization.</t>
  </si>
  <si>
    <t>small-scale platforms to support and experiment with IoT-Cloud services.</t>
  </si>
  <si>
    <t>IoT-cloud testbed (SmartX boxes)</t>
  </si>
  <si>
    <t>testbed provisioning (implied)</t>
  </si>
  <si>
    <t>Privacy-Based Deployments: The Role of DevPrivOps in 6G Mobile Networks</t>
  </si>
  <si>
    <t>C. Silva; V. A. Cunha; J. P. Barraca; P. Salvador</t>
  </si>
  <si>
    <t>10.1109/MCOM.004.2300405</t>
  </si>
  <si>
    <t>https://ieeexplore.ieee.org/stamp/stamp.jsp?arnumber=10384629</t>
  </si>
  <si>
    <t>The advent of 6G brings unprecedented opportunities for connectivity and software applications. However, it also poses significant privacy challenges. In this article, we propose the integration of DevPrivOps, a privacy engineering approach, in 6G software development to address these challenges. DevPrivOps emphasizes continuous integration, delivery, and deployment while incorporating privacy concerns from the early stages of development. This article outlines the principles and components of DevPrivOps in the context of 6G, including privacy quantification and intelligent prediction of privacy breaches. By integrating privacy engineering in 6G software development, DevPrivOps aims to enhance the privacy level of software, prioritize privacy considerations, ensure compliance with data privacy regulations, promote transparency, optimize performance, and inform decision-making processes. The proposed methodology addresses gaps in previous DevPrivOps concepts and highlights the need for generic solutions that can quantify privacy in various software domains.</t>
  </si>
  <si>
    <t>focuses on DevPrivOps as an approach for integrating privacy practices into the deployment and operation of 6G mobile networks.</t>
  </si>
  <si>
    <t>6G mobile network software (IoT-adjacent connectivity)</t>
  </si>
  <si>
    <t>DevPrivOps (privacy-integrated CI/CD)</t>
  </si>
  <si>
    <t>Seamless Integration of DevOps Tools for Provisioning Automation of the IoT Application on Multi-Infrastructures</t>
  </si>
  <si>
    <t>H. E. Solayman; R. P. Qasha</t>
  </si>
  <si>
    <t>10.1109/ICCT56969.2023.10075814</t>
  </si>
  <si>
    <t>https://ieeexplore.ieee.org/stamp/stamp.jsp?arnumber=10075814</t>
  </si>
  <si>
    <t>The Internet of Things contains smart devices and tools that collect and communicate sensing data, with different processing capabilities. Due to the heterogeneous nature of IoT ecosystems, an IoT application should be distributed, portable, reusable, and managed automatically in heterogeneous environments. The integration of automated provisioning and orchestration is needed to achieve these features effectively, in order to reduce the response time and enhance the system performance. In this research, we propose and develop a new system to automate the provisioning and orchestration of IoT system components at various infrastructures such as Edge and Cloud. To achieve our goals, we present a seamless integration of DevOps orchestration tools for provisioning and orchestrating a container-based IoT application, which requires achieving two key milestones. The first step is to build CI, or quick, dependable, and systematic integrations. The second is to enable CD, automate deployment, and make it simple to test new code in environments similar to production.</t>
  </si>
  <si>
    <t>Provisioning;Orchestration;DevOps;CI/CD;TOSCA;Cloud;Edge</t>
  </si>
  <si>
    <t>2023 3rd International Conference on Intelligent Communication and Computational Techniques (ICCT)</t>
  </si>
  <si>
    <t>Proposes and implements a system integrating DevOps orchestration tools for automated CI/CD provisioning of container-based IoT applications across edge and cloud infrastructures.</t>
  </si>
  <si>
    <t>heterogeneous IoT ecosystems (edge/cloud provisioning)</t>
  </si>
  <si>
    <t>DevOps orchestration tools; CI; CD</t>
  </si>
  <si>
    <t>TOSCA</t>
  </si>
  <si>
    <t>SE-DO: Navigating the 6G Frontier with Scalable and Efficient DevOps for Intelligent Agents Optimization</t>
  </si>
  <si>
    <t>P. M. Tshakwanda; H. Kumar; S. T. Arzo; M. Devetsikiotis</t>
  </si>
  <si>
    <t>10.1109/CCWC60891.2024.10427717</t>
  </si>
  <si>
    <t>https://ieeexplore.ieee.org/stamp/stamp.jsp?arnumber=10427717</t>
  </si>
  <si>
    <t>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t>
  </si>
  <si>
    <t>Software-Defined Networking;Microservices;Intelligent Agent;Docker Container;DevOps;5G;6G</t>
  </si>
  <si>
    <t>2024 IEEE 14th Annual Computing and Communication Workshop and Conference (CCWC)</t>
  </si>
  <si>
    <t>Introduces SE-DO, a scalable DevOps methodology for managing IoT ecosystems in 6G/next-gen networks, addressing motivations, practices, and a multi-agent framework, though the DevOps framing is somewhat unconventional and empirical depth is limited.</t>
  </si>
  <si>
    <t>6G-connected IoT devices (urban traffic analytics)</t>
  </si>
  <si>
    <t>Scalable Efficient DevOps (SE-DO) multi-agent methodology</t>
  </si>
  <si>
    <t>GitHub (project hosting)</t>
  </si>
  <si>
    <t>Self-Service Cybersecurity Monitoring as Enabler for DevSecOps</t>
  </si>
  <si>
    <t>J. Díaz; J. E. Pérez; M. A. Lopez-Peña; G. A. Mena; A. Yagüe</t>
  </si>
  <si>
    <t>10.1109/ACCESS.2019.2930000</t>
  </si>
  <si>
    <t>https://ieeexplore.ieee.org/stamp/stamp.jsp?arnumber=8766805</t>
  </si>
  <si>
    <t>Current IoT systems are highly distributed systems that integrate cloud, edge, and fog computing approaches depending on where intelligence and processing capabilities are allocated. This distribution and heterogeneity make development and deployment pipelines very complex and fragmented with multiple delivery endpoints above hardware. This fact prevents rapid development and makes the operation and monitoring of production systems a difficult and tedious task, including cybersecurity event monitoring. The DevSecOps can be defined as a cultural approach to improve and accelerate the delivery of business value by making dev/sec/ops teams' collaboration effective. This paper focuses on self-service cybersecurity monitoring as an enabler to introduce security practices in a DevOps environment. To that end, we have defined and formalized an activity that supports `Fast and Continuous Feedback from Ops to Dev' by providing a flexible monitoring infrastructure so that teams can configure their monitoring and alerting services according to their criteria (you build, you run, and now you monitor) to obtain fast and continuous feedback from the operation and thus, better anticipate problems when a production deployment is performed. This activity has been formalized using the Software &amp; Systems Process Engineering Metamodel by OMG and its instantiation is described through a case study that shows the versioned and repeatable configuration of a cybersecurity monitoring infrastructure (Monitoring as Code) through virtualization and containerization technology. This self-service monitoring/alerting allows breaking silos between dev, ops, and sec teams by opening access to key security metrics, which enables a sharing culture and continuous improvement.</t>
  </si>
  <si>
    <t>Cybersecurity;DevSecOps;monitoring as code;self-service monitoring</t>
  </si>
  <si>
    <t>IEEE Access</t>
  </si>
  <si>
    <t>Directly addresses self-service cybersecurity monitoring as a DevSecOps enabler for distributed IoT systems spanning cloud, edge, and fog, with a formalized monitoring infrastructure supporting continuous feedback loops.</t>
  </si>
  <si>
    <t>distributed IoT systems (cloud/edge/fog)</t>
  </si>
  <si>
    <t>DevSecOps; monitoring-as-code; self-service monitoring/alerting</t>
  </si>
  <si>
    <t>virtualization/containerization tech (unspecified)</t>
  </si>
  <si>
    <t>SODALITE@RT: Orchestrating Applications on Cloud-Edge Infrastructures</t>
  </si>
  <si>
    <t>Kumara, I; Mundt, P; Tokmakov, K; Radolovic, D; Maslennikov, A; González, RS; Fabeiro, JF; Quattrocchi, G; Meth, K; Di Nitto, E; Tamburri, DA; Van den Heuvel, WJ; Meditskos, G</t>
  </si>
  <si>
    <t>10.1007/s10723-021-09572-0</t>
  </si>
  <si>
    <t>IoT-based applications need to be dynamically orchestrated on cloud-edge infrastructures for reasons such as performance, regulations, or cost. In this context, a crucial problem is facilitating the work of DevOps teams in deploying, monitoring, and managing such applications by providing necessary tools and platforms. The SODALITE@RT open-source framework aims at addressing this scenario. In this paper, we present the main features of the SODALITE@RT: modeling of cloud-edge resources and applications using open standards and infrastructural code, and automated deployment, monitoring, and management of the applications in the target infrastructures based on such models. The capabilities of the SODALITE@RT are demonstrated through a relevant case study. © 2021, The Author(s).</t>
  </si>
  <si>
    <t>Journal of Grid Computing</t>
  </si>
  <si>
    <t>Presents the SODALITE@RT open-source framework explicitly designed to support DevOps teams in deploying and managing IoT-based applications on cloud-edge infrastructures, with a concrete case study demonstration.</t>
  </si>
  <si>
    <t>IoT-based cloud-edge applications (generic)</t>
  </si>
  <si>
    <t>automated deployment/monitoring/management; infrastructure-as-code</t>
  </si>
  <si>
    <t>SODALITE@RT framework</t>
  </si>
  <si>
    <t>Template-based automation with distributed secure provisioning installer for remote cloud boxes</t>
  </si>
  <si>
    <t>J. -S. Shin; J. Kim</t>
  </si>
  <si>
    <t>10.1109/ICTC.2016.7763428</t>
  </si>
  <si>
    <t>https://ieeexplore.ieee.org/stamp/stamp.jsp?arnumber=7763428</t>
  </si>
  <si>
    <t>The emerging edge computing concept with μClοud boxes, in charge of front-end data processing for remote large-scale cloud data centers, is addressing the delay and efficiency concerns for IoT-Cloud services. The infrastructure operators of IoT-Cloud services require several provisioning tools to handle a number of cloud boxes across multiple remote sites. The resulting open-source software provisioning tools should support automated installation and configuration for remote cloud boxes, albeit with flexibility and scalability. Thus, in this paper, we discuss our ongoing DevOps-based realization for DsP-Installer (Distributed Secure Provisioning Installer), which automates the template-based installation and configuration for remote cloud boxes.</t>
  </si>
  <si>
    <t>IoT-Cloud services;OpenStack cloud;DevOps-based automated provision;Open-Source software</t>
  </si>
  <si>
    <t>Directly describes a DevOps-based provisioning installer for IoT-Cloud edge computing infrastructure, addressing both practices and tooling for DevOps+IoT integration.</t>
  </si>
  <si>
    <t>IoT-Cloud edge computing (μCloud boxes)</t>
  </si>
  <si>
    <t>DevOps-based automated provisioning</t>
  </si>
  <si>
    <t>DsP-Installer; OpenStack</t>
  </si>
  <si>
    <t>Tool Support for Risk-driven Planning of Trustworthy Smart IoT Systems within DevOps</t>
  </si>
  <si>
    <t>Thompson A.; Erdogan G.</t>
  </si>
  <si>
    <t>10.5220/0009189307420753</t>
  </si>
  <si>
    <t>https://www.scopus.com/pages/publications/85176374060?origin=resultslist</t>
  </si>
  <si>
    <t>There is a serious lack of support for trustworthy smart IoT systems within DevOps. Security and privacy are often overlooked in DevOps cultures and almost absent in the context of IoT. In this paper, we focus on the planning stage of DevOps and propose a tool-supported method for risk-driven planning considering security and privacy risks. Our method consists of five steps: establish context, analyse dataflow, model privacy and security risk, develop risk assessment algorithm based on risk model, and execute risk assessment algorithm. Our tool supports this method in the first and the last step and facilitates dynamic risk assessment based on input provided by the user or collected from the monitoring stage into predefined risk models. The output of the tool is a risk assessment which the end users, e.g. developers, can use as decision support to prioritize certain parts of the target under analysis in the next cycle of DevOps. The tool and the method are evaluated in a real-world smart home case. Our initial evaluation indicates that the approach is comprehensible for our intended users, supports the planning stage in terms of security and privacy risk assessment, and feasible for use in the DevOps practice. © 2022 by SCITEPRESS – Science and Technology Publications, Lda. All rights reserved.</t>
  </si>
  <si>
    <t>International Conference on Information Systems Security and Privacy</t>
  </si>
  <si>
    <t>Directly proposes a tool-supported risk-driven planning method for security and privacy within the DevOps lifecycle for smart IoT systems, evaluated in a real-world smart home case.</t>
  </si>
  <si>
    <t>smart-home IoT (trustworthy systems)</t>
  </si>
  <si>
    <t>risk-driven planning stage of DevOps; dynamic risk assessment</t>
  </si>
  <si>
    <t>custom risk-assessment tool (unspecified)</t>
  </si>
  <si>
    <t>Towards a New Metamodel of Microservices and Devops Based Internet of Things Ecosystem</t>
  </si>
  <si>
    <t>El Khalyly, B; Belangour, A; Erraissi, A; Banane, M</t>
  </si>
  <si>
    <t>10.1007/978-3-030-90639-9_85</t>
  </si>
  <si>
    <t>The ecosystem of the Internet of Things is a set of physical devices such as sensors and actuators. It includes a set of servers and gateways that provide connectivity. These devices can be installed at three levels: the edge level, the fog level and the cloud level. Applications that monitor things and collect data from sensors are deployed at the edge, fog and cloud levels. These applications can be containerized and deployed in different devices by Docker, which takes advantage of its advantage to create executable containers that are isolated from each other. This paper presents a generic metamodel of the Internet of Things ecosystem based on microservices and supported by Docker as a containerization tool and Ansible as a monitoring tool. This metamodel allows us to generate a system of connected objects that can be deployed on three levels: Fog, Edge, Cloud. This metamodel can be used in different types of domains such as Smart Home - Smart City - Smart Vehicle - Smart Health - Smart Farm - Smart Factory. The metamodel proposed in this article is a fusion between 4 metamodels: Internet of Things - Microservices - Ansible - Docker.</t>
  </si>
  <si>
    <t>ADVANCED INTELLIGENT SYSTEMS FOR SUSTAINABLE DEVELOPMENT (AI2SD'2020), VOL 2</t>
  </si>
  <si>
    <t>Presents a metamodel for IoT ecosystems using microservices, Docker, and Ansible across edge-fog-cloud layers, implicitly supporting DevOps deployment practices for IoT.</t>
  </si>
  <si>
    <t>generic IoT ecosystem (edge/fog/cloud, smart home/city/vehicle/health/farm/factory)</t>
  </si>
  <si>
    <t>metamodel-driven deployment</t>
  </si>
  <si>
    <t>Docker; Ansible</t>
  </si>
  <si>
    <t>Unleashing the power of Devops and Iot: a framework for software delivery and system availability</t>
  </si>
  <si>
    <t>Vaish P.; Anand N.; Sharma G.</t>
  </si>
  <si>
    <t>10.1007/s11042-024-19452-w</t>
  </si>
  <si>
    <t>https://www.scopus.com/pages/publications/105004070607?origin=resultslist</t>
  </si>
  <si>
    <t>This research paper proposes a DevOps and IoT-based software delivery and system availability performance model with continuous monitoring and feedback. The model was developed to measure the software delivery performance and system availability of organizations using various DevOps capabilities. The research involved data collection from IT organizations across different industries, and the findings were analyzed to determine the impact of different capabilities on software delivery performance and system availability. The results show that the use of DevOps practices, coupled with IoT-based monitoring, can significantly improve software delivery performance and system availability. The research also highlights the importance of operational capabilities in improving system availability. The study concludes by providing insights into how organizations can leverage the findings to improve their software delivery performance and system availability, ultimately becoming elite performers. The research provides valuable insights and a practical framework for organizations looking to improve their software delivery performance and system availability using DevOps and IoT-based approaches. © The Author(s), under exclusive licence to Springer Science+Business Media, LLC, part of Springer Nature 2024.</t>
  </si>
  <si>
    <t>Multimedia Tools and Applications</t>
  </si>
  <si>
    <t>Explicitly proposes and empirically evaluates a DevOps and IoT-based framework for software delivery and system availability, directly addressing motivations, practices, and tooling for DevOps+IoT integration.</t>
  </si>
  <si>
    <t>IT organizations using IoT-based monitoring (cross-industry)</t>
  </si>
  <si>
    <t>DevOps capability model; continuous monitoring/feedback</t>
  </si>
  <si>
    <t>WASMICO: Micro-containers in microcontrollers with WebAssembly</t>
  </si>
  <si>
    <t>Ribeiro E.; Restivo A.; Ferreira H.S.; Dias J.P.</t>
  </si>
  <si>
    <t>10.1016/j.jss.2024.112081</t>
  </si>
  <si>
    <t>https://www.scopus.com/pages/publications/85192025807?origin=resultslist</t>
  </si>
  <si>
    <t>The Internet-of-Things (IoT) has created a complex environment where hardware and software interact in complex ways. Despite being a prime candidate for applying well-established software engineering practices, IoT has not seen the same level of adoption as other areas, such as cloud development. This discrepancy is even more evident in the case of edge devices, where programming and managing applications can be challenging due to their heterogeneous nature and dependence on specific toolchains and languages. However, the emergence of WebAssembly as a viable solution for running high-level languages on some devices presents an opportunity to streamline development practices, such as DevOps. In this paper, we present WASMICO — a firmware and command-line utility that allows for the execution and management of application lifecycles in microcontrollers. Our solution has been benchmarked against other state-of-the-art tools, demonstrating its feasibility, novel features, and empirical evidence that it outperforms some of the most widely used solutions for running high-level code on these devices. Overall, our work aims to promote the use of well-established software engineering practices in the IoT domain, helping to bridge the gap between cloud and edge development. © 2024 Elsevier Inc.</t>
  </si>
  <si>
    <t>Journal of Systems and Software</t>
  </si>
  <si>
    <t>Directly presents WASMICO, a tool enabling DevOps lifecycle management on IoT microcontrollers via WebAssembly, with empirical benchmarking.</t>
  </si>
  <si>
    <t>microcontroller/edge IoT devices</t>
  </si>
  <si>
    <t>DevOps lifecycle management via WebAssembly runtime</t>
  </si>
  <si>
    <t>WebAssembly (Wasm); WASMICO CLI</t>
  </si>
  <si>
    <t>A devops framework for the systematic engineering and evolution of digital twins for built assets</t>
  </si>
  <si>
    <t>Aissat S.; Beaulieu J.; Poirier É.; Motamedi A.; Gascon-Samson J.; Bordeleau F.</t>
  </si>
  <si>
    <t>10.1007/s10270-025-01330-0</t>
  </si>
  <si>
    <t>https://www.scopus.com/pages/publications/105020411096?origin=resultslist</t>
  </si>
  <si>
    <t>Digital twins (DT) constitute complex software systems that need to be continuously modified/updated to meet evolving user requirements and priorities, and support continual improvement. Because their aim is to monitor and improve different system aspects, their development requires the collaboration of people from different domains of expertise, e.g., the development of a DT for built assets may involve the collaboration of experts in software engineering, thermal comfort, air quality, energy consumption, building security, etc. Consequently, DTs need to be engineered to enable the fast and secure integration and deployment of new code, the systematic and iterative evolution of their components, and the independent development of different system aspects by those experts. In this paper, we present JuNo-OPS, a DevOps framework for the engineering of DTs for built assets. The framework is being developed, tested, and validated in the context of various DT projects at École de Technologie Supérieure (ETS), including the development of a DT for a multi-functional room and a DT for a climatic chamber. We focus on two main aspects of DT engineering: the DT architecture; and the DevOps infrastructure used to support the development, continuous integration, and continuous delivery of the DT software. We also discuss challenges and next steps related to the development and evolution of the framework. © The Author(s), under exclusive licence to Springer-Verlag GmbH Germany, part of Springer Nature 2025.</t>
  </si>
  <si>
    <t>Presents a DevOps framework for digital twins of built assets involving IoT-connected sensor environments, addressing CI/CD pipeline architecture and DevOps practices, though IoT is somewhat secondary to the DT focus.</t>
  </si>
  <si>
    <t>digital twins for built assets (smart buildings, IoT sensor environments)</t>
  </si>
  <si>
    <t>DevOps infrastructure; CI/CD for DT software</t>
  </si>
  <si>
    <t>JuNo-OPS framework</t>
  </si>
  <si>
    <t>scopus</t>
  </si>
  <si>
    <t>A Distributed Container-Based Internet of Things (IoT)-Enabled Autonomous E-Healthcare System for Development and Operations (DevOps)</t>
  </si>
  <si>
    <t>Dai Q.; Qin G.; Li R.</t>
  </si>
  <si>
    <t>10.1007/978-3-032-03215-7_6</t>
  </si>
  <si>
    <t>https://www.scopus.com/pages/publications/105021834159?origin=resultslist</t>
  </si>
  <si>
    <t>It is a trend for hospitals to shift healthcare applications to cloud computing because the cloud has a powerful computing ability. The valuable, sensitive patient data is stored in the remote cloud. This makes it necessary for a hospital to build an autonomous cloud. However, there is a conflict between limited IT department staff and prosperous e-healthcare applications. To solve this problem, a distributed container-based Internet of Things (IoT)-enabled e-healthcare system for Development and Operations (DevOps) is presented. Using container technology and orchestration, a traditional healthcare application is deconstructed into a series of containers and is reorganized according to the application logic that facilitates DevOps. The introducing of container technology makes it possible to automatically increase or decrease docker containers when the e-healthcare application scales up or down. The function and performance of the proposed system are proved through three cases, i.e., scalability, service, and continuous integration (CI)/continuous delivery (CD) pipeline. © ICST Institute for Computer Sciences, Social Informatics and Telecommunications Engineering 2026.</t>
  </si>
  <si>
    <t>Lecture Notes of the Institute for Computer Sciences, Social-Informatics and Telecommunications Engineering, LNICST</t>
  </si>
  <si>
    <t>Presents a container-based IoT-enabled e-healthcare system explicitly designed around DevOps principles including CI/CD pipelines, scalability, and continuous delivery.</t>
  </si>
  <si>
    <t>e-healthcare IoT (hospital cloud)</t>
  </si>
  <si>
    <t>containerization; orchestration; CI/CD</t>
  </si>
  <si>
    <t>scopus; wos</t>
  </si>
  <si>
    <t>A Running Prototype for Dynamic QoS Management in the Cloud Continuum</t>
  </si>
  <si>
    <t>Sanou D.J.C.; Yangui S.; Faci N.</t>
  </si>
  <si>
    <t>10.1007/978-981-96-7423-7_30</t>
  </si>
  <si>
    <t>https://www.scopus.com/pages/publications/105013049207?origin=resultslist</t>
  </si>
  <si>
    <t>The Cloud Continuum refers to the distributed, heterogeneous and dynamic ecosystem that covers a full spectrum of computing environments such as cloud computing, cloud/edge computing and the Internet of Things. In this context, proactive QoS management is challenging taking into consideration the dynamicity and the prospective mobility of the different entities involved in the continuum. The aim of this paper is twofold (i) highlight the need for dynamic and proactive QoS management models to provision the emerging applications such as autonomous vehicles and car platooning, and (ii) demonstrate the value-added of the adoption of DevOps and Site Reliability Engineering (SRE) techniques while managing their hosting network and infrastructures. The presented prototype implements a proactive video streaming service for car platooning. It relies on an innovative machine learning models switching approach during the platoon movement to enable the dynamic and proactive QoS management. © The Author(s), under exclusive license to Springer Nature Singapore Pte Ltd. 2026.</t>
  </si>
  <si>
    <t>Lecture Notes in Computer Science</t>
  </si>
  <si>
    <t>Demonstrates DevOps and SRE adoption for QoS management across a cloud continuum that includes IoT, though IoT+DevOps integration is not the primary focus.</t>
  </si>
  <si>
    <t>cloud continuum incl. IoT (autonomous vehicles/car platooning)</t>
  </si>
  <si>
    <t>DevOps; Site Reliability Engineering (SRE); proactive QoS management</t>
  </si>
  <si>
    <t>custom ML model-switching approach</t>
  </si>
  <si>
    <t>AI-Driven Machine Learning Architecture for Scalable Irrigation Detection in Precision Agriculture: A Case Study with CropX</t>
  </si>
  <si>
    <t>Ozimek J.; Yakobovich M.; Hoving H.-J.; Capiluppi A.</t>
  </si>
  <si>
    <t>10.1007/978-3-032-02138-0_27</t>
  </si>
  <si>
    <t>https://www.scopus.com/pages/publications/105015788031?origin=resultslist</t>
  </si>
  <si>
    <t>Agriculture is a significant contributor to global water consumption, making the optimization of irrigation practices essential for sustainability. CropX, an agritech startup, seeks to automate irrigation event detection using large-scale Volumetric Water Content (VWC) data from IoT sensors. Ensuring scalability and accuracy is vital for decision-making within CropX’s farm management system. This paper describes the development of scalable machine learning (ML) models to automate irrigation detection in large, unbalanced datasets. We discuss the architectural patterns and software design decisions that enable these models to be effectively deployed within an AI-driven system, emphasizing MLOps and CI/CD practices. Multiple ML models were tested, including statistical methods (ARIMA, Kalman Filter), ano-maly detection techniques (Isolation Forest), and ensemble approaches. These were evaluated using performance metrics such as F1 score, precision, and recall. Additionally, we highlight the role of human-in-the-loop strategies in refining model predictions, showcasing the interaction between agronomists and AI-driven recommendations. Our contribution includes an analysis of the software architecture used for deploying ML models, focusing on microservices, data pipelines, and scalable cloud-based solutions. We illustrate how this system integrates with existing farm management platforms and discuss its implications for future AI-based agent systems in precision agriculture. The ensemble models achieved superior performance, significantly improving the F1 score compared to individual models. Their integration into CropX’s infrastructure has enhanced irrigation event detection while optimizing resource usage. In addition, a robust software architecture will support continuous integration and model evolution, ensuring system scalability. © The Author(s), under exclusive license to Springer Nature Switzerland AG 2026.</t>
  </si>
  <si>
    <t>Describes MLOps and CI/CD practices for deploying ML models on IoT sensor data in precision agriculture, addressing DevOps tooling in an IoT context.</t>
  </si>
  <si>
    <t>precision-agriculture IoT sensors (CropX, irrigation)</t>
  </si>
  <si>
    <t>MLOps; CI/CD</t>
  </si>
  <si>
    <t>ARIMA; Kalman Filter; Isolation Forest; microservices architecture</t>
  </si>
  <si>
    <t>ieee; scopus</t>
  </si>
  <si>
    <t>AI-Driven Predictive Patient Monitoring System Using Kubeflow and CI/CD Enabled MLOps Framework</t>
  </si>
  <si>
    <t>D. Sundaram</t>
  </si>
  <si>
    <t>10.1109/ICCA66035.2025.11430793</t>
  </si>
  <si>
    <t>https://ieeexplore.ieee.org/stamp/stamp.jsp?arnumber=11430793</t>
  </si>
  <si>
    <t>Continuous and intelligent patient monitoring is essential for improving clinical outcomes and preventing avoidable deterioration in hospitals and remote care environments. Traditional systems rely on static thresholds and manual review, often missing subtle changes in patient status and contributing to alarm fatigue. This paper presents an AI-driven predictive monitoring system that integrates real-time physiological data streams with a Kubeflow-based MLOps pipeline and a fully automated CI/CD workflow. The system continuously learns from patient-specific baselines and adapts to evolving clinical patterns through automated retraining, validation, and deployment. By combining personalized risk modeling, scalable cloud-native architecture, and explainable AI, the proposed solution enhances early-warning capabilities and supports timely decision-making across ICU, chronic-care, and remote-monitoring scenarios.</t>
  </si>
  <si>
    <t>Predictive monitoring;patient deterioration;Kubeflow;MLOps;CI/CD;real-time analytics;deep learning;explainable AI;IoT healthcare;clinical decision support</t>
  </si>
  <si>
    <t>IoT healthcare (patient monitoring, ICU/remote care)</t>
  </si>
  <si>
    <t>MLOps; CI/CD; automated retraining/validation/deployment</t>
  </si>
  <si>
    <t>Kubeflow</t>
  </si>
  <si>
    <t>An attempt to adopt DevOps on embedded system development: Empirical evidence</t>
  </si>
  <si>
    <t>Wijaya P.E.; Rosyadi I.; Taryana A.</t>
  </si>
  <si>
    <t>10.1088/1742-6596/1367/1/012078</t>
  </si>
  <si>
    <t>https://www.scopus.com/pages/publications/85076411753?origin=resultslist</t>
  </si>
  <si>
    <t>DevOps is a method that integrates and narrows two environments in software development process, developer side and operational side. DevOps becomes a solution that can be offered to improve SDLC (System Development Life Cycle) in current embedded system development process. This paper provides a concept and its implementation to prove that DevOps adoption on embedded system architecture is possible. After doing the research, we found out that it is possible to adopt DevOps on embedded system development, we also provide empirical evidence and analyze the weaknesses about the concept designed. © 2019 IOP Publishing Ltd. All rights reserved.</t>
  </si>
  <si>
    <t>Journal of Physics: Conference Series</t>
  </si>
  <si>
    <t>Provides empirical evidence of DevOps adoption on embedded systems development, which is closely related to IoT, though the IoT connection is implicit rather than explicit.</t>
  </si>
  <si>
    <t>embedded systems (generic, IoT-adjacent)</t>
  </si>
  <si>
    <t>DevOps adoption (SDLC integration)</t>
  </si>
  <si>
    <t>An efficient deep learning-based solution for network intrusion detection in wireless sensor network</t>
  </si>
  <si>
    <t>Sharma H.S.; Sarkar A.; Singh M.M.</t>
  </si>
  <si>
    <t>10.1007/s13198-023-02090-0</t>
  </si>
  <si>
    <t>https://www.scopus.com/pages/publications/85168120034?origin=resultslist</t>
  </si>
  <si>
    <t>This paper introduces a unique intrusion detection method that integrates developmental and operational frameworks, focusing specifically on the wireless sensor network. With the growing number of intrusions, safeguarding sensor nodes has become increasingly crucial. In addition to security breaches, unauthorized access to systems by fraudsters or intruders poses a risk to critical assets. Therefore, detecting and blocking potential threats in the wireless environment is of utmost importance. The proposed detection approach consists of two steps: feature extraction and classification. The study emphasizes the necessity of a distinct intrusion detection method and robust feature extraction and classification techniques. Incorporating a deep learning model is vital for enhancing the precision and accuracy of attack detection. Additionally, it is crucial for efficiency to optimize the CNN architecture’s filter size and filter count. The proposed DevOps-based intrusion detection technique involves feature extraction and classification. During the feature extraction stage, statistics and higher-order descriptors are combined with existing characteristics in the early processing of application data. The extracted features are then utilized by the classification method in conjunction with an improved DCNN approach. The technique optimizes the quantity and size of filters in the input vector and fully connected layers. In terms of accuracy as well as FNR, sensitivity, MCC, specificity, FDR, FPR, and NPV, F 1 -score against GAF-GYT and other attacks, the suggested technique outperforms conventional models. Specifically, in Application 3, the technique surpasses the DCNN, Innovative Gunner Algorithm, and FAE-GWO-DBN methods by 60.14%, 3.10%, and 5.46%, respectively. Furthermore, for Application 4, the suggested model demonstrates significantly lower FPR rates (91.46%, 67.15%, and 98.4%) compared to the FAE-GWO-DBN, AIG, and DCNN methods. Additionally, the suggested approach outperforms the DCNN, Innovative Gunner Algorithm, and FAE-GWO-DBN approaches by 69.76%, 3.27%, and 22.68%, respectively. © 2023, The Author(s) under exclusive licence to The Society for Reliability Engineering, Quality and Operations Management (SREQOM), India and The Division of Operation and Maintenance, Lulea University of Technology, Sweden.</t>
  </si>
  <si>
    <t>International Journal of System Assurance Engineering and Management</t>
  </si>
  <si>
    <t>Mentions DevOps as a framing for an intrusion detection pipeline in wireless sensor networks, but the DevOps integration is superficial and the focus is on the deep learning classification method itself.</t>
  </si>
  <si>
    <t>wireless sensor networks (security)</t>
  </si>
  <si>
    <t>DevOps framing (superficial); mainly ML detection pipeline</t>
  </si>
  <si>
    <t>DCNN; hybrid Firefly-Grey Wolf Optimisation</t>
  </si>
  <si>
    <t>ieee; scopus; wos</t>
  </si>
  <si>
    <t>An experimental continuous delivery framework for SmartX-mini IoT-cloud playground</t>
  </si>
  <si>
    <t>J. Bae; J. Kim</t>
  </si>
  <si>
    <t>10.1109/ICOIN.2016.7427129</t>
  </si>
  <si>
    <t>https://ieeexplore.ieee.org/stamp/stamp.jsp?arnumber=7427129</t>
  </si>
  <si>
    <t>Internet of Things (IoT), one of the hottest research targets, needs the systematic leverage from cloud-centric ICT infrastructure. Among several challenges for fast and economic IoT-Cloud service enablement, the continuous integration and delivery (CI/CD) framework is one of commonly wanted capabilities. In this paper, we introduce early experience with deploying an experimental continuous delivery framework for SmartX-mini IoT-Cloud Playground.</t>
  </si>
  <si>
    <t>Continuous integration and delivery;software-defined infrastructure;SDN/NFV/Cloud integration;IoT-Cloud software framework;Internet of Things</t>
  </si>
  <si>
    <t>2016 International Conference on Information Networking (ICOIN)</t>
  </si>
  <si>
    <t>Directly presents an experimental CI/CD framework deployed in an IoT-Cloud playground, addressing both practices and tooling for DevOps+IoT integration.</t>
  </si>
  <si>
    <t>IoT-cloud playground (SmartX-mini)</t>
  </si>
  <si>
    <t>CI/CD framework</t>
  </si>
  <si>
    <t>An Intelligent Edge System for Face Mask Recognition Application</t>
  </si>
  <si>
    <t>Le-Anh T.; Nguyen-Van B.; Le-Trung Q.</t>
  </si>
  <si>
    <t>10.1007/978-3-031-08878-0_8</t>
  </si>
  <si>
    <t>https://www.scopus.com/pages/publications/85132989390?origin=resultslist</t>
  </si>
  <si>
    <t>In the modern age, the growth of embedded devices, IoT (Internet of Things), 5G (Fifth Generation) and AI (Artificial Intelligence), has driven edge AI applications. Adopting Edge computing for AI applications intends to deal with power consumption, network capacity, response latency issues. In this paper, we introduce an intelligent edge system. It aims to assist with managing and developing microservices based AI applications on embedded computers with limited hardware resource. The proposed system uses Docker/Containerd and lightweight Kubernetes cluster (K3s) for high availability, self-healing, load balancing, scaling and automated deployment. It also facilitates GPU (Graphics Processing Unit) to speed up AI applications. The centralized cluster management and monitoring features simplify clusters and services administration, especially on a large scale. Meanwhile, container registry and DevOps platform with built-in code repository and CI/CD (Continuous Integration/Continuous Delivery) offer continuous integration and delivery for AI applications running on the cluster. This improves the process of AI applications development and management at the edge. In this experience, we implement the face mask recognition application with the proposed system. This application engages the state-of-the-art and lightweight object detection models with deep learning, observing mask violations to contribute to reducing the spread of COVID-19 disease. © 2022, ICST Institute for Computer Sciences, Social Informatics and Telecommunications Engineering.</t>
  </si>
  <si>
    <t>Presents an intelligent edge system for IoT/AI applications using Kubernetes, Docker, and a built-in CI/CD DevOps platform, demonstrating concrete tooling integration for IoT edge deployments.</t>
  </si>
  <si>
    <t>edge AI IoT devices (face-mask recognition, embedded/limited HW)</t>
  </si>
  <si>
    <t>CI/CD; container orchestration; built-in DevOps platform</t>
  </si>
  <si>
    <t>Docker/Containerd; K3s (lightweight Kubernetes); GPU</t>
  </si>
  <si>
    <t>Analysis of Revolutionizing IoT Solutions through Cloud Computing Integration</t>
  </si>
  <si>
    <t>S. I. Abbas; R. Walia</t>
  </si>
  <si>
    <t>10.1109/ICSADL61749.2024.00012</t>
  </si>
  <si>
    <t>https://ieeexplore.ieee.org/stamp/stamp.jsp?arnumber=10601416</t>
  </si>
  <si>
    <t>This research work investigates the significant potential for increasing productivity and promoting innovation in a range of sectors presented by the combination of DevOps, Cloud Computing, and Internet of Things IoT. The transformational influence of this convergence is presented quantitatively in this research. Our findings highlighted the efficiency improvements of the integrated strategy in the field of IoT deployment, showing a noteworthy 71.67% decrease in deployment time when compared to traditional techniques. Furthermore, the integration demonstrated its potential for cost reductions by enabling a 37.5% decrease in expenses through dynamic resource scaling. This connection enabled real-time data analysis, which led to an astounding 91.67% decrease in reaction time when compared to conventional data analysis techniques. This demonstrates how it may provide real-time insights that are essential for Internet of Things applications. This study offers strong quantitative proof that the confluence of IoT, cloud computing, and DevOps is a route to increased productivity and creativity that has the ability to transform sectors and propel advancement in the digital age.</t>
  </si>
  <si>
    <t>AWS;Azure;Cloud Computing;IoT;DevOps</t>
  </si>
  <si>
    <t>2024 3rd International Conference on Sentiment Analysis and Deep Learning (ICSADL)</t>
  </si>
  <si>
    <t>Provides quantitative evidence of efficiency gains from integrating DevOps, cloud computing, and IoT, though the methodology and framework details are limited.</t>
  </si>
  <si>
    <t>generic IoT deployment (cloud-integrated)</t>
  </si>
  <si>
    <t>DevOps; dynamic resource scaling; real-time analytics</t>
  </si>
  <si>
    <t>AWS; Azure</t>
  </si>
  <si>
    <t>ieee</t>
  </si>
  <si>
    <t>Applying DevOps and DaaS in the Smart Laboratory of Internet of Things</t>
  </si>
  <si>
    <t>I. Izotov; N. Papulovskaya</t>
  </si>
  <si>
    <t>10.1109/Inforino68543.2026.11556658</t>
  </si>
  <si>
    <t>https://ieeexplore.ieee.org/stamp/stamp.jsp?arnumber=11556658</t>
  </si>
  <si>
    <t>This paper presents the results of developing a Smart Laboratory. The Smart Laboratory is a platform for remotely developing embedded system software. It enables remote access to physical hardware for software development, testing, and deployment on microcontroller-based devices. The creation of the online laboratory involved several key tasks: designing a network infrastructure to integrate laboratory equipment into a unified system, developing a web application for remote interaction with microcontrollers, implementing a digital twin of the test module for flexible configuration and management, and conducting testing and validation. During development, a hypothesis emerged that the combination of DevOps and Device as a Service (DaaS) opens new possibilities for automated IoT device management. The DaaS concept enables on-demand remote access to physical devices, while the DevOps methodology facilitated the automation of user software deployment. A compilation and delivery pipeline for firmware updates was implemented to support this process. Ansible was utilized to automate software updates on Raspberry Pi testbed computers. Prometheus was employed for metric collection, and Grafana was used for data visualization, ensuring system performance monitoring. The platform was tested and validated at the Institute of Radio Electronics and Information Technologies - RTF (UrFU). The invention has been patented.</t>
  </si>
  <si>
    <t>cyber-physical systems;embedded systems;Internet of Things;DevOps;digital twin;remote laboratory;microcontroller programming</t>
  </si>
  <si>
    <t>2026 8th International Conference on Information Technologies in Engineering Education (Inforino)</t>
  </si>
  <si>
    <t>Directly implements DevOps+DaaS for IoT firmware delivery using CI/CD pipelines, Ansible, Prometheus, and Grafana on a microcontroller-based smart laboratory platform.</t>
  </si>
  <si>
    <t>remote embedded-systems lab (microcontroller-based IoT devices)</t>
  </si>
  <si>
    <t>DevOps + Device-as-a-Service (DaaS); CI/CD firmware pipeline; monitoring</t>
  </si>
  <si>
    <t>Ansible; Prometheus; Grafana; Raspberry Pi</t>
  </si>
  <si>
    <t>Automatic Deployment Pipeline for Containerized Application of IoT Device</t>
  </si>
  <si>
    <t>Y. Yulianto; E. Utami; Kusnawi</t>
  </si>
  <si>
    <t>10.1109/ICITISEE57756.2022.10057699</t>
  </si>
  <si>
    <t>https://ieeexplore.ieee.org/stamp/stamp.jsp?arnumber=10057699</t>
  </si>
  <si>
    <t>In this modern era, many companies in the technology field compete to win the hearts of customers. To keep up with the competition and meet customers' needs, companies must be able to adapt to changes in their products. One software development methodology that focuses on customer satisfaction is the agile methodology. This approach is popular among software development teams because it allows them to quickly respond to changes in customer needs. This study aims to apply a combination of Gitlab CI and Jenkins to implement a CI/CD pipeline on two software applications called Fishee Backend App and Fishee Frontend App, which use different technologies and also use agile methodology approach in development process. The study aims to evaluate the quality of the pipeline and the time required for the deliver changes to customer. The results show that the Fishee Backend App takes time 153.7 seconds and The Fishee Frontend App takes 174.2, In terms of successful pipeline jobs, the Fishee Backend App reached 70.45% and Fishee Frontend App reached 83,3%. Based on these findings, the use of a combination of Jenkins and Gitlab CI in the CI/CD process can be effective and more faster than previous research for automating the deployment of container-based applications. However, the study was limited to implementation on the Digital Ocean platform and did not compare with other VPS provider platforms. It is recommended that future research extend the scope of the study to include other technology stacks and compare the performance of different CI/CD tools on a range of VPS provider platforms.</t>
  </si>
  <si>
    <t>Agile;CI/CD;Docker;Automation;Software Development</t>
  </si>
  <si>
    <t>2022 6th International Conference on Information Technology, Information Systems and Electrical Engineering (ICITISEE)</t>
  </si>
  <si>
    <t>Implements a CI/CD pipeline (GitLab CI + Jenkins) for a containerized IoT device application, directly addressing DevOps tooling in an IoT deployment context.</t>
  </si>
  <si>
    <t>containerized IoT device application</t>
  </si>
  <si>
    <t>CI/CD pipeline; Agile methodology</t>
  </si>
  <si>
    <t>GitLab CI; Jenkins; Docker</t>
  </si>
  <si>
    <t>Automating Distributed Production Testing</t>
  </si>
  <si>
    <t>N. Sleibi; A. Aldaghamin; C. Wolff</t>
  </si>
  <si>
    <t>10.1109/CANDO-EPE57516.2022.10046366</t>
  </si>
  <si>
    <t>https://ieeexplore.ieee.org/stamp/stamp.jsp?arnumber=10046366</t>
  </si>
  <si>
    <t>Many small and medium enterprises in the embedded systems’ field cannot afford to carry out their production testing efforts, which is known to be costly and time-consuming. Hence, their tendency to commission third party service providers to perform these tasks. Therefore, testing can be distributed among many testing locations, where isolated and locally operated test benches perform the tests on the Devices under Test (DUTs). The first goal of this work is to connect the system on the cloud level for better collaboration and online management of functional tests on software-intensive embedded systems. The second goal is to enhance the testing process by closing the open gap between testing and feedback on two levels of operation: the local level between the test benches and the DUTs, and on a wider level with the cloud. This is achieved by connecting the system online via the cloud, and by adopting the DevOps approach, which aims at automating the different processes to achieve an automated workflow that can automatically adapt itself to change. In this paper, the system architecture and prototype are presented, based on which, an automated and continuous feedback-based testing cycles were implemented and tested on two levels of operation.</t>
  </si>
  <si>
    <t>production testing;DevOps;test automation;cloud computing;continuous testing;continuous feedback;selfadaptive system;feedback-based testing</t>
  </si>
  <si>
    <t>2022 IEEE 5th International Conference and Workshop Óbuda on Electrical and Power Engineering (CANDO-EPE)</t>
  </si>
  <si>
    <t>Applies DevOps automation and continuous feedback to distributed production testing of embedded/IoT-adjacent systems, connecting DevOps practices to hardware-level device testing in a cloud-connected architecture.</t>
  </si>
  <si>
    <t>embedded/production-line devices under test (DUTs)</t>
  </si>
  <si>
    <t>DevOps automation; continuous feedback-based testing</t>
  </si>
  <si>
    <t>cloud-connected test benches (unspecified)</t>
  </si>
  <si>
    <t>Challenges of DevOps ready IoT testbed</t>
  </si>
  <si>
    <t>Judvaitis J.; Nesenbergs K.; Balass R.; Greitans M.</t>
  </si>
  <si>
    <t>https://www.scopus.com/pages/publications/85072767742?origin=resultslist</t>
  </si>
  <si>
    <t>Developing, deploying, testing and validating complex software systems is complicated and as a result security, privacy and quality in general often suffer due to limited resources and rapid development cycles. In the case of IoT system development there are additional levels of complexity and risks. In this paper we present our ongoing effort towards providing and validating a solution for these problems as a toolset/TestBed implementing previously established ENACT IoT DevOps concepts and Framework, aimed at ensuring continued Quality of Service and application of best practices during development cycle of IoT systems. Copyright © 2019 for this paper by its authors.</t>
  </si>
  <si>
    <t>Directly addresses the challenges of building a DevOps-ready IoT testbed implementing the ENACT IoT DevOps framework, covering tooling, practices, and motivations for DevOps+IoT integration with empirical validation effort.</t>
  </si>
  <si>
    <t>IoT system development (ENACT framework testbed)</t>
  </si>
  <si>
    <t>ENACT IoT DevOps concepts; QoS assurance</t>
  </si>
  <si>
    <t>ENACT framework/toolset</t>
  </si>
  <si>
    <t>Cloud-Native Hybrid Deployment Technology Under Narrowband Communication Conditions</t>
  </si>
  <si>
    <t>L. Wang; Z. Yang; C. Zhong; W. Zhang</t>
  </si>
  <si>
    <t>10.1109/ICNC-FSKD67701.2025.11198011</t>
  </si>
  <si>
    <t>https://ieeexplore.ieee.org/stamp/stamp.jsp?arnumber=11198011</t>
  </si>
  <si>
    <t>Edge computing extends cloud capabilities to the network periphery to reduce latency and bandwidth usage, but implementing cloud-native technologies in these environments poses unique challenges. This paper surveys cloud-native hybrid deployment strategies under narrowband communication conditions, as encountered in IoT and remote edge scenarios. We review the state of the art in general-purpose edge computing, focusing on containerization and orchestration frameworks that bridge cloud and edge deployments despite constrained network bandwidth. Key platforms and tools are examined in depth, including Kubernetes for container orchestration, lightweight Kubernetes variants like K3s and edge-specific frameworks like KubeEdge, package management with Helm, GitOps continuous delivery via Argo CD, event-driven scaling with KEDA, and the integration of security through DevSecOps practices. We describe architectural approaches for hybrid cloud-edge orchestration, evaluate each solution's design, and discuss how they accommodate intermittent connectivity and low data rates. Through careful analysis of existing literature and industry practices, we highlight how cloud-native paradigms can be adapted to bandwidth-constrained edge environments, identify open challenges in managing deployments over narrowband links, and outline future research directions in optimizing cloud-edge synergy under network limitations.</t>
  </si>
  <si>
    <t>edge computing;cloud-native;Kubernetes;narrowband IoT;hybrid cloud;DevSecOps;orchestration</t>
  </si>
  <si>
    <t>2025 21st International Conference on Natural Computation, Fuzzy Systems and Knowledge Discovery (ICNC-FSKD)</t>
  </si>
  <si>
    <t>Directly surveys cloud-native hybrid deployment for IoT/edge environments, examining containerization, orchestration (Kubernetes, K3s, KubeEdge), GitOps (Argo CD), and DevSecOps practices under narrowband/IoT conditions.</t>
  </si>
  <si>
    <t>narrowband IoT / remote edge scenarios</t>
  </si>
  <si>
    <t>GitOps; DevSecOps; container orchestration</t>
  </si>
  <si>
    <t>Kubernetes; K3s; KubeEdge; Helm; Argo CD; KEDA</t>
  </si>
  <si>
    <t>Continuous deployment of trustworthy smart IoT systems</t>
  </si>
  <si>
    <t>Ferry N.; Nguyen P.H.; Song H.; Rios E.; Iturbe E.; Martinez S.; Rego A.</t>
  </si>
  <si>
    <t>10.5381/jot.2020.19.2.a16</t>
  </si>
  <si>
    <t>https://www.scopus.com/pages/publications/85089665982?origin=resultslist</t>
  </si>
  <si>
    <t>While the next generation of IoT systems need to perform distributed processing and coordinated behaviour across IoT, Edge and Cloud infrastructures, their development and operation are still challenging. A major challenge is the high heterogeneity of their infrastructure, which broadens the surface for security attacks and increases the complexity of maintaining and evolving such complex systems. In this paper, we present our approach for Generation and Deployment of Smart IoT Systems (GeneSIS) to tame this complexity. GeneSIS leverages model-driven engineering to support the DevSecOps of Smart IoT Systems (SIS). More precisely, GeneSIS includes: (i) a domain specific modelling language to specify the deployment of SIS over IoT, Edge and Cloud infrastructure with the necessary concepts for security and privacy; and (ii) a models@run. time engine to enact the orchestration, deployment, and adaptation of these SIS. The results from our smart building case study have shown that GeneSIS can support security by design from the development (via deployment) to the operation of IoT systems and back again in a DevSecOps loop. In other words, GeneSIS enables IoT systems to keep up security and adapt to evolving conditions and threats while maintaining their trustworthiness. © 2020 Association Internationale pour les Technologies Objets.</t>
  </si>
  <si>
    <t>Journal of Object Technology</t>
  </si>
  <si>
    <t>Directly and substantially addresses DevSecOps for Smart IoT Systems across IoT/Edge/Cloud infrastructure, presenting the GeneSIS framework with model-driven engineering and empirical validation via a smart building case study.</t>
  </si>
  <si>
    <t>smart-building IoT/Edge/Cloud</t>
  </si>
  <si>
    <t>DevSecOps; model-driven deployment/orchestration</t>
  </si>
  <si>
    <t>GeneSIS framework (DSL + models@run.time)</t>
  </si>
  <si>
    <t>Continuous Integration and Continuous Delivery with Microcontrollers Applications</t>
  </si>
  <si>
    <t>F. G. Tinetti; A. A. Santi; M. Méndez</t>
  </si>
  <si>
    <t>10.1109/CSCI62032.2023.00179</t>
  </si>
  <si>
    <t>https://ieeexplore.ieee.org/stamp/stamp.jsp?arnumber=10590376</t>
  </si>
  <si>
    <t>This paper presents an approach to streamline the software development process using microcontrollers via a popular practice of recent years: CI/CD (Continuous Integration/ Continuous Delivery or Deployment). Essentially, this practice involves automating different stages of the development process to save time, such as building, testing, and subsequent deployment. By doing so, a system is created to work smoothly and continuously, partially relieving developers of tasks that can be automated. Our approach involves the design and implementation of a compact server for interacting with various agents/tasks related to microcontrollers-based applications development. Thus, the created system is capable of automating at least a portion of the software development process, ultimately providing significant advantages for microcontrollers applications programmers.</t>
  </si>
  <si>
    <t>Microcontrollers;ESP32;CI/CD;Arduino;Over-The-Air (OTA) Updates;Distributed Systems;Real-Time Systems</t>
  </si>
  <si>
    <t>2023 International Conference on Computational Science and Computational Intelligence (CSCI)</t>
  </si>
  <si>
    <t>Paper presents a CI/CD implementation for microcontroller-based applications, directly addressing DevOps automation practices in an embedded/IoT hardware context with a working prototype.</t>
  </si>
  <si>
    <t>microcontroller-based IoT devices (ESP32, Arduino)</t>
  </si>
  <si>
    <t>CI/CD; OTA updates</t>
  </si>
  <si>
    <t>ESP32; Arduino</t>
  </si>
  <si>
    <t>Continuous QoS-aware adaptation of Cloud-IoT application placements</t>
  </si>
  <si>
    <t>Herrera J.L.; Berrocal J.; Forti S.; Brogi A.; Murillo J.M.</t>
  </si>
  <si>
    <t>10.1007/s00607-023-01153-1</t>
  </si>
  <si>
    <t>https://www.scopus.com/pages/publications/85146955227?origin=resultslist</t>
  </si>
  <si>
    <t>Cloud-Internet of Things computing paradigms call for novel and efficient methodologies to decide where to place application services in continuity with Continuous Integration/Continuous Deployment pipelines and infrastructure monitoring. In this article, we present Continuous Adaptation (CA), a new DevOps practice for (1) detecting runtime changes in the application requirements or the infrastructure that, due to their change in resource consumption or their effects on the Quality of Service (QoS), can affect the validity and dependability of the current application placement, and for (2) locally intervening on them by suggesting new placements that ensure all (functional and non-functional) application requirements are met. We assess a prototype of CA, ConDADO, and analyze its performance over a motivating use case. ConDADO adapts the application placement to environmental changes through the use of continuous reasoning, reducing the size of the problem to be solved to optimize its performance. The evaluation shows that ConDADO is able to obtain nearly optimal QoS up to 4.2 × faster than alternative techniques, also minimizing the cost of service migration. © 2023, The Author(s).</t>
  </si>
  <si>
    <t>Computing</t>
  </si>
  <si>
    <t>Presents Continuous Adaptation (CA) as a novel DevOps practice with a concrete prototype (ConDADO) for managing Cloud-IoT application placements within CI/CD pipelines, directly addressing DevOps+IoT integration.</t>
  </si>
  <si>
    <t>Cloud-IoT application service placement (generic)</t>
  </si>
  <si>
    <t>Continuous Adaptation (DevOps practice); CI/CD pipelines</t>
  </si>
  <si>
    <t>ConDADO prototype</t>
  </si>
  <si>
    <t>Development of Interoperability in Industrial Internet of Things (IIoT) Ecosystems: Integrating DevOps and Digital Twins to Platform Integration and Ensure Seamless Device</t>
  </si>
  <si>
    <t>V. S. Pandi; K. Ranjani; Z. Azzam; H. P. Thethi; M. Dinesh; E. Yuvabharathi</t>
  </si>
  <si>
    <t>10.1109/INCSST64791.2025.11210416</t>
  </si>
  <si>
    <t>https://ieeexplore.ieee.org/stamp/stamp.jsp?arnumber=11210416</t>
  </si>
  <si>
    <t>The Industrial Internet of Things (IIoT) is now an integral part of modern industrial systems, revolutionizing smart manufacturing, predictive maintenance, and optimizing supply chains. While the implementation of HoT is complex, one of the most critical aspects is in terms of achieving interoperability between different devices, platforms, and applications within IIoT ecosystems. It is not enough only to have strong communication protocols that plays well with all the components, but also continuous development, testing and deployment pipelines that can conform to those specific and growing needs in industrial environments. By integrating DevOps principles and Digital Twin technology, this work presents a unique approach that enables application-level interoperability by ensuring seamless device communication across heterogeneous IIoT ecosystems. DevOps, with its focus on automation, collaboration, and CI/CD, has emerged as a powerful way to tackle operational complexities in HoT ecosystems. Integrating DevOps into IIoT platform development, we focus on reducing the friction involved in connecting devices, sensors and applications so that any update or change can be deployed fast and reliably. At the same time, Digital Twin technology, as representations of physical assets, is key to providing monitoring in real time, simulation, and optimization of devices and systems within IIoT environments. The aim of this research is to investigate how the intersection of DevOps and Digital Twins can upend parallel processing with a framework for platform interoperability which enables real-time decision-making and predictive analytics whilst mitigating downtime and improving system efficiency. The framework for interoperability proposed in this paper aims to build a cohesive infrastructure that enables the seamless exchange of information between legacy systems, modern IoT devices, and cloud-based applications. Digital Twins are a key element in enabling a feedback loop between the physical HoT devices and the digital terrain they inhabit across the intrinsic and extrinsic domains of the IIoT. Additionally, by leveraging DevOps in the design, we guarantee that this platform can adapt to changing business needs or technological innovation without compromise to the operational integrity of the system.</t>
  </si>
  <si>
    <t>DevOps;Interoperability;Digital Twins;Seamless Device Communication;Platform Integration;RealTime Data Monitoring</t>
  </si>
  <si>
    <t>2025 International Conference on Smart &amp; Sustainable Technology (INCSST)</t>
  </si>
  <si>
    <t>Directly integrates DevOps principles and Digital Twin technology to achieve IIoT platform interoperability, with CI/CD pipelines tailored to heterogeneous industrial IoT ecosystems.</t>
  </si>
  <si>
    <t>Industrial IoT (IIoT), smart manufacturing</t>
  </si>
  <si>
    <t>DevOps automation/collaboration/CI-CD; Digital Twin integration</t>
  </si>
  <si>
    <t>DevOps for Cyber-Physical Systems: Objectives, Results and Lessons Learned from the Adeptness H2020 Project</t>
  </si>
  <si>
    <t>A. Arrieta; G. Sagardui; A. Agirre; W. Afzal; S. Ali</t>
  </si>
  <si>
    <t>10.1109/DSD60849.2023.00035</t>
  </si>
  <si>
    <t>https://ieeexplore.ieee.org/stamp/stamp.jsp?arnumber=10456864</t>
  </si>
  <si>
    <t>While most large web-based software systems (e.g., Amazon, Google) release a new software version every almost a minute, in the context of Cyber-Physical Systems (CPSs), this is still far. However, the software of CPSs needs to evolve while these are in operation to fix bugs, add new functionalities, carry out refactoring activities and deal with unforeseen situations that were discovered while the CPS was operating. In the last three years, the Adeptness project has been developing in a solution to help speedup the software release of CPSs that are in operation while guaranteeing their reliability. In this paper, we summarize the objectives, results and lessons learned from this H2020 project.</t>
  </si>
  <si>
    <t>Cyber-Physical Systems;DevOps;Uncertainty</t>
  </si>
  <si>
    <t>2023 26th Euromicro Conference on Digital System Design (DSD)</t>
  </si>
  <si>
    <t>Summarizes objectives and lessons learned from the Adeptness H2020 project on DevOps for Cyber-Physical Systems, offering conceptual contributions but limited empirical depth in this summary paper.</t>
  </si>
  <si>
    <t>DevOps for CPS software release speed-up</t>
  </si>
  <si>
    <t>Ecosystem-Centric Approach to Intelligent Product Development: Paving the Way for Scalable and Adaptive Solutions</t>
  </si>
  <si>
    <t>A. Stanciu; L. C. Miclea</t>
  </si>
  <si>
    <t>10.1109/ICSTCC59206.2023.10308437</t>
  </si>
  <si>
    <t>https://ieeexplore.ieee.org/stamp/stamp.jsp?arnumber=10308437</t>
  </si>
  <si>
    <t>This paper explores the evolution from traditional to modern methodologies for the development of intelligent products. The traditional linear and sequential approach, often characterized by limited toolsets and hardware-centric programming, fails to address the complexities and dynamic requirements of today's digital ecosystems. To bridge this gap, we propose an ecosystem-centric approach to intelligent product development that emphasizes scalability, flexibility, and integration of advanced technologies. Our approach fosters the use of artificial intelligence, machine learning, and advanced data analytics techniques, providing a model for creating scalable and adaptive solutions. We also delve into the necessity of DevSecOps methodology, incorporating cloud-based solutions such as Integration PaaS services, and embracing IoT technologies. This paper contributes by highlighting the benefits of this approach, including improved functionality, reduced development lifecycle, enhanced supply strategy, and cost savings.</t>
  </si>
  <si>
    <t>intelligent products;integration;IoT;modern development;artificial intelligence;machine learning</t>
  </si>
  <si>
    <t>2023 27th International Conference on System Theory, Control and Computing (ICSTCC)</t>
  </si>
  <si>
    <t>Explicitly proposes an ecosystem-centric intelligent product development approach that integrates DevSecOps methodology with IoT technologies and cloud-based solutions, addressing motivations and practices for their combined use.</t>
  </si>
  <si>
    <t>intelligent products (general IoT ecosystem)</t>
  </si>
  <si>
    <t>DevSecOps; cloud-based PaaS integration</t>
  </si>
  <si>
    <t>Empowering Kubernetes with Platform Engineering to Automate IoT Processing Workflows Orchestration at the Edge</t>
  </si>
  <si>
    <t>D. Tazzioli; A. Sabbioni; A. Bujari; L. Foschini</t>
  </si>
  <si>
    <t>10.1109/CAMAD62243.2024.10942956</t>
  </si>
  <si>
    <t>https://ieeexplore.ieee.org/stamp/stamp.jsp?arnumber=10942956</t>
  </si>
  <si>
    <t>The proliferation of IoT devices provides access to an unprecedented amount of data coming from sensors and smart devices, characterized by high volumes and strong locality. The Edge Computing paradigm, by providing low-latency, privacy-aware, resilient, and distributed computational resources is considered a fundamental enabler for the processing of the massive data volume incoming from IoT devices. However, the heterogeneous and decentralized edge resource poses a significant barrier to seamless device integration and management. In this paper, we propose a Platform Engineering architecture that extends the Kubernetes control plane to simplify the orchestration and management of the processing workflow that produces data incoming from IoT devices. The proposed platform integrates management capabilities that address the complexity of provisioning het-erogeneous network, storage, and compute resources, enabling smart management of edge services.</t>
  </si>
  <si>
    <t>Platform Engineering;Edge;DevOps;CI/CD</t>
  </si>
  <si>
    <t>2024 IEEE 29th International Workshop on Computer Aided Modeling and Design of Communication Links and Networks (CAMAD)</t>
  </si>
  <si>
    <t>Proposes a Platform Engineering architecture extending Kubernetes to orchestrate IoT processing workflows at the edge, addressing DevOps-adjacent tooling for IoT management, though DevOps practices are not the central framing.</t>
  </si>
  <si>
    <t>edge IoT sensor-data processing</t>
  </si>
  <si>
    <t>Platform Engineering (DevOps-adjacent); CI/CD</t>
  </si>
  <si>
    <t>Kubernetes (extended control plane)</t>
  </si>
  <si>
    <t>Enhancing Autonomous Robotics Through Cloud Computing</t>
  </si>
  <si>
    <t>A. Subramaniam; D. H. Prajapati; K. Alremeithi; W. Sealy</t>
  </si>
  <si>
    <t>10.1109/IAICT62357.2024.10617458</t>
  </si>
  <si>
    <t>https://ieeexplore.ieee.org/stamp/stamp.jsp?arnumber=10617458</t>
  </si>
  <si>
    <t>This paper presents a comprehensive study on the integration of Cyber-Physical Systems (CPS) and the Industrial Internet of Things (IIoT), with a focus on cloud-based swarm robotics systems for virtual commissioning. Utilizing Pololu Romi robots equipped with Lidar sensors and leveraging advanced SLAM algorithms from ROS2, the research explores the enhancement of robotics autonomy and coordination through cloud computing. The study emphasizes the significance of digital twins in testing and refining swarm strategies, reducing operational risks and commissioning resources. The adoption of Docker and Portainer for efficient container orchestration and GitLab for a robust CI/CD framework underlines the application of cutting-edge methodologies in virtual commissioning. The paper highlights the practical implications of digital twins and containerization in industrial robotics, showcasing scalability and efficiency in swarm deployment. Moreover, it contributes to the discourse on cloud computing and IoT in advancing robotic autonomy. Through a systematic investigation, the paper outlines the technological architecture, virtual commissioning processes, and the operational effectiveness of the explored cloud-based swarm robotics system, marking a significant stride in the field of industrial automation and robotics.</t>
  </si>
  <si>
    <t>Cyber-Physical Systems (CPS);Industrial In-ternet of Things (IIoT);Swarm robotics;Cloud computing;Digital twins</t>
  </si>
  <si>
    <t>2024 IEEE International Conference on Industry 4.0, Artificial Intelligence, and Communications Technology (IAICT)</t>
  </si>
  <si>
    <t>Applies CI/CD tooling (GitLab, Docker) and cloud computing to IIoT-based swarm robotics, connecting DevOps practices to an IoT/CPS deployment context with empirical implementation.</t>
  </si>
  <si>
    <t>IIoT/CPS swarm robotics (Pololu Romi robots, ROS2)</t>
  </si>
  <si>
    <t>CI/CD framework; container orchestration; digital twins for virtual commissioning</t>
  </si>
  <si>
    <t>Docker; Portainer; GitLab; ROS2</t>
  </si>
  <si>
    <t>Enhancing Interoperability and system performance through Automation and testing of IoT sensors</t>
  </si>
  <si>
    <t>R. J; A. P. Patil; R. Sankarasubramanian; S. P. Yelaka; M. J; K. B. C. R</t>
  </si>
  <si>
    <t>10.1109/ICNGCS64900.2025.11182974</t>
  </si>
  <si>
    <t>https://ieeexplore.ieee.org/stamp/stamp.jsp?arnumber=11182974</t>
  </si>
  <si>
    <t>Seamless interoperability and enhanced system performance for real-time monitoring and efficient operation in smart environments are achieved through improved IoT sensor integration and automated testing and validation of backend APIs. By automating the processes of sensor data collection and API validation, the proposed method improves system efficiency, accuracy, and scalability within IoT environments. The central goal is to design a unified platform simplifying sensor deployment and ensuring consistent, reliable communication with backend systems. The proposed solution introduces a middleware layer that facilitates IoT sensor integration by unifying data formats and communication standards. It includes a backend API testing framework, leveraging tools like Cypress to verify API responses for accuracy, performance, and error resilience. Key components of this system include real-time simulation of sensor data, automated generation of test cases, and seamless integration with CI/CD pipelines for ongoing validation. Technologies such as Node.js, Python, and RESTful APIs are used to maintain scalability and system compatibility.The developed system offers a streamlined and automated approach to managing IoT sensors and verifying API interactions. Users can set up sensors, simulate their output, and validate backend responses without manual input. This level of automation reduces the time required for deployment, decreases the likelihood of errors, and ensures consistent performance of backend services. The proposed methodology demonstrates significant improvements in the efficiency and dependability of IoT-based systems.</t>
  </si>
  <si>
    <t>component;formatting;style;styling;insert</t>
  </si>
  <si>
    <t>2025 International Conference on Next Generation Computing Systems (ICNGCS)</t>
  </si>
  <si>
    <t>Describes automated testing and CI/CD pipeline integration for IoT sensor interoperability, directly combining DevOps practices with IoT deployment contexts.</t>
  </si>
  <si>
    <t>IoT sensor integration (smart environments, generic)</t>
  </si>
  <si>
    <t>automated testing; CI/CD pipelines</t>
  </si>
  <si>
    <t>Cypress; Node.js; Python; RESTful APIs</t>
  </si>
  <si>
    <t>FogDEFTKube: Standards-compliant dynamic deployment of fog service containers</t>
  </si>
  <si>
    <t>Thalla R.; Srirama S.N.</t>
  </si>
  <si>
    <t>10.1002/spe.3354</t>
  </si>
  <si>
    <t>https://www.scopus.com/pages/publications/85196151347?origin=resultslist</t>
  </si>
  <si>
    <t>The traditional cloud-centric approach in IoT applications lack the speed and efficiency required for time-critical tasks, resulting in network inefficiencies. To address this, the notions of Edge and Fog computing have emerged as alternatives. Fog computing facilitates the deployment of services and applications closer to the network's edge, lowering latency and allowing real-time capabilities. It enhances reliability, fault tolerance, and connectivity in areas with spotty network coverage. Despite the fact that fog computing overcomes the limitations of cloud-centric IoT processing, its adoption faces challenges like platform independence, interoperability, and portability. To tackle these challenges, the FogDEFT (Fog computing out of the box: Dynamic dEployment of Fog service containers with TOSCA) framework was developed. It complies to OASIS-TOSCA standards and guarantees dynamic deployment of fog services on resource-constrained devices while leveraging Docker containerization technology to ensure platform independence and interoperability. Due to its tight coupling with Docker Swarm, which is designed for medium-sized deployments, the fogDEFT framework is constrained by Docker Swarm's limitations, hindering its ability to effectively manage large-scale, automated, and resource-efficient microservice deployments. To address these limitations, we propose FogDEFTKube, an extension of the FogDEFT architecture that incorporates Kubernetes for orchestration, Jenkins for continuous integration and deployment, and a comprehensive redefinition of the core capabilities of the FogDEFT architecture. This offers a promising solution that supports Kubernetes for handling scalable and highly available fog applications with ease while offering CI/CD. FogDEFTKube simplifies the modeling and deployment of fog services while abstracting the complexities of underlying fog networks. © 2024 John Wiley &amp; Sons Ltd.</t>
  </si>
  <si>
    <t>Software - Practice and Experience</t>
  </si>
  <si>
    <t>Proposes FogDEFTKube, a TOSCA-compliant framework for dynamic deployment of containerized fog services for IoT applications, directly addressing DevOps-relevant deployment tooling in an IoT/edge context.</t>
  </si>
  <si>
    <t>fog-computing IoT services (resource-constrained edge devices)</t>
  </si>
  <si>
    <t>CI/CD (Jenkins); container orchestration</t>
  </si>
  <si>
    <t>Docker; Kubernetes; Jenkins; TOSCA</t>
  </si>
  <si>
    <t>Formalizing Distributed Industrial Monitoring: A Phased Data Flow and Knowledge-Centric Architecture for IIoT-Enabled Production Systems</t>
  </si>
  <si>
    <t>A. Tagaev; M. Abdulzagirov; D. Nikitin</t>
  </si>
  <si>
    <t>10.1109/SmartIndustryCon68821.2026.11492840</t>
  </si>
  <si>
    <t>https://ieeexplore.ieee.org/stamp/stamp.jsp?arnumber=11492840</t>
  </si>
  <si>
    <t>This article presents a formalized architecture of a portable hardware-software complex (PHSC) for monitoring the condition of production systems as a distributed IIoT platform based on multi-level data processing: sensor → broker → analytics → control → reporting. A phased data-flow model is proposed to support the transition from raw signal acquisition to management decision-making. Particular attention is paid to the organization of data across the Data Lake → Knowledge Base → Reports levels, which enables the implementation of a scalable and adaptive system for digital management of production assets. In addition, managerial and information mechanisms are developed for the seamless integration of the PHSC into existing IT and production environments, including the delineation of microservice responsibility zones, the adoption of CI/CD approaches in industrial monitoring, and OTA sensor firmware updates via BLE. The proposed architecture is shown to provide flexibility, fault tolerance, and the possibility of evolutionary system development without interrupting the production cycle. Unlike traditional studies, the focus is placed not on sensor types, but on lifecycle management of the hardware-software monitoring infrastructure.</t>
  </si>
  <si>
    <t>hardware-software complex;distributed system;IIoT;CI/CD;industrial monitoring</t>
  </si>
  <si>
    <t>2026 International Russian Smart Industry Conference (SmartIndustryCon)</t>
  </si>
  <si>
    <t>Directly presents a formalized IIoT distributed monitoring architecture that explicitly integrates CI/CD approaches for industrial production systems and OTA firmware updates, substantially addressing DevOps+IoT integration practices and tools with a clear conceptual contribution.</t>
  </si>
  <si>
    <t>Industrial IoT (IIoT) production monitoring</t>
  </si>
  <si>
    <t>CI/CD approaches; OTA sensor firmware updates via BLE</t>
  </si>
  <si>
    <t>Hybrid optimised deep learning-deep belief network for attack detection in the internet of things</t>
  </si>
  <si>
    <t>Sarma S.K.</t>
  </si>
  <si>
    <t>10.1080/0952813X.2021.1924868</t>
  </si>
  <si>
    <t>https://www.scopus.com/pages/publications/85107485462?origin=resultslist</t>
  </si>
  <si>
    <t>Internet of Things (IoT) is a new revolution of the Internet. However, the IoT network of physical devices and objects is often vulnerable to attacks like Denial of Service (DoS) and Distributed Denial of Service (DDoS). The proposed attack detection system makes the interlinking of Development and Operations (DevOps) as it makes the relationship between development and IT operations. For this, the proposed system includes (i) Proposed Feature Extraction and (ii) Classification. The data from each application are processed under the initial stage of feature extraction, where the statistical and higher-order statistical features are concatenated. Subsequently, the extracted features are subjected to a classification process, where it determines the presence of attacks. For the classification process, this paper intends to deploy the optimised Deep Belief Network (DBN), in which the activation function is optimally tuned. A new hybrid algorithm termed Firefly Alpha Evaluated Grey Wolf Optimisation (FAE-GWO) algorithm is proposed, which is the combination of Firefly (FF) and Grey Wolf Optimisation (GWO). Finally, the performance of the proposed system model is compared over other conventional works in terms of certain performance measures. © 2021 Informa UK Limited, trading as Taylor &amp; Francis Group.</t>
  </si>
  <si>
    <t>Journal of Experimental and Theoretical Artificial Intelligence</t>
  </si>
  <si>
    <t>Invokes DevOps as a conceptual framing for an IoT attack detection system but does not substantively analyze DevOps practices or integration; the core contribution is the deep learning classifier.</t>
  </si>
  <si>
    <t>IoT network security (DoS/DDoS detection)</t>
  </si>
  <si>
    <t>DevOps framing (superficial); mainly ML classifier</t>
  </si>
  <si>
    <t>Deep Belief Network; Firefly-Grey Wolf Optimisation</t>
  </si>
  <si>
    <t>Leveraging AI and MLOps for IoT-Edge-Cloud Industrial Digital Twins: a Practical Case Study</t>
  </si>
  <si>
    <t>M. A. Farooq; P. Bellavista; A. Bujari; A. Sita</t>
  </si>
  <si>
    <t>10.1109/CSCN67557.2025.11230711</t>
  </si>
  <si>
    <t>https://ieeexplore.ieee.org/stamp/stamp.jsp?arnumber=11230711</t>
  </si>
  <si>
    <t>Artificial Intelligence (AI) and Machine Learning Operations (MLOps) are crucial for the practical application of Digital Twins (DT) in industrial environments. DT facilitate enhanced modelling, forecasting, and optimisation of assets and processes, while MLOps ensure resilient, reliable, and continuously updated models. This paper proposes an industrial-grade DT example for the manufacturing industry, utilising cloud/edge-based AI technologies from the Microsoft Azure ecosystem. Data handling and ML model training are performed at the cloud layer, while models are deployed and maintained at the edge. To enhance interoperability and portability, trained ML models are converted into lightweight and portable models using the Open Neural Network Exchange format (ONNX) standard. Continuous Integration and Continuous Deployment (CI/CD) are performed on an industrial edge device using GitHub Actions. REST APIs are implemented using standard HTTP methods to manage the IoT Central edge manifest. In-the-field experimental results demonstrate the effectiveness of our DT prototype in a specific industrial use case.</t>
  </si>
  <si>
    <t>Digital Twin;AutoML;Industry 4.0;IoT-edge-cloud Continuum;MLOps;CI/CD;ONNX;ML</t>
  </si>
  <si>
    <t>2025 IEEE Conference on Standards for Communications and Networking (CSCN)</t>
  </si>
  <si>
    <t>Directly integrates MLOps, CI/CD (GitHub Actions), and cloud/edge deployment for industrial IoT digital twins, with empirical results demonstrating DevOps practices in an IoT manufacturing context.</t>
  </si>
  <si>
    <t>Industrial IoT (manufacturing digital twins, Azure ecosystem)</t>
  </si>
  <si>
    <t>Azure; ONNX; GitHub Actions; REST APIs</t>
  </si>
  <si>
    <t>Life Cycle Automation of IoT Services over Multiple Edge Clouds</t>
  </si>
  <si>
    <t>M. Vitumbiko; Y. Kim</t>
  </si>
  <si>
    <t>10.1109/ICOIN59985.2024.10572158</t>
  </si>
  <si>
    <t>https://ieeexplore.ieee.org/stamp/stamp.jsp?arnumber=10572158</t>
  </si>
  <si>
    <t>In the rapidly evolving landscape of edge computing for IoT service provisioning, the challenges of managing and deploying applications across a diverse array of edge devices in multi-edge setups are evident. Edge devices, often situated on users’ premises, exhibit heterogeneity in hardware and software requirements. Furthermore, manual cluster setup and software packaging for each edge site become impractical when trying to cater to the specific needs of each edge device. Developers are often required to set up an edge cluster, continuously create software packages tailored to individual edge devices and end-user requirements, all while managing multiple application versions and redeploying them across a fleet of edge devices. To address these challenges, this paper proposes an innovative solution that simplifies IoT microservice deployment across multiple edge sites, accommodating the intricacies of device diversity and different end user requirements.</t>
  </si>
  <si>
    <t>IoT;Multi-edge;Kubernetes;CI/CD</t>
  </si>
  <si>
    <t>2024 International Conference on Information Networking (ICOIN)</t>
  </si>
  <si>
    <t>Proposes lifecycle automation and CI/CD-style deployment of IoT microservices across edge clouds, addressing DevOps practices for IoT though DevOps terminology is not always explicit.</t>
  </si>
  <si>
    <t>multi-edge IoT service deployment</t>
  </si>
  <si>
    <t>lifecycle automation; CI/CD-style deployment</t>
  </si>
  <si>
    <t>MAGNET: An optimized DevOps framework for efficient software integration and orchestration in the IoT-Edge-Cloud Continuum</t>
  </si>
  <si>
    <t>E. Agorogiannis; K. Petrakis; G. Antonopoulos; T. Anagnostopoulos; N. Grigoropoulos; Z. Benomar</t>
  </si>
  <si>
    <t>10.1109/EEITE65381.2025.11166038</t>
  </si>
  <si>
    <t>https://ieeexplore.ieee.org/stamp/stamp.jsp?arnumber=11166038</t>
  </si>
  <si>
    <t>This paper introduces MAGNET, a DevOps framework comprising Continuous Integration/Continuous Deployment practices, alongside flexible development and integration infrastructures, as applied in COGNIFOG, an innovative computing ecosystem currently under development that uses decentralized decision making, machine learning, and distributed computing to enhance autonomy, adaptability, and scalability within the IoT-edge-cloud continuum. The proposed approach ensures efficient, reliable, and seamless framework integration, offering key insights into integration architecture, data flow management, and the adoption of advanced technologies. This work demonstrates the efficiency and adaptability of the COGNIFOG ecosystem through three real-world trials in smart cities, e-health, and smart manufacturing, along with the creation of a comprehensive QuickStart Guide for deployment, offering a robust solution for the complexities of next-generation computing environments.</t>
  </si>
  <si>
    <t>CI/CD;DevOps;IoT-edge-cloud continuum;service orchestration;cognitive connectivity;fog computing;edge computing;IoT</t>
  </si>
  <si>
    <t>2025 6th International Conference in Electronic Engineering &amp; Information Technology (EEITE)</t>
  </si>
  <si>
    <t>Introduces MAGNET, a concrete DevOps/CI/CD framework explicitly designed for the IoT-edge-cloud continuum, validated through real-world trials in smart cities, e-health, and smart manufacturing.</t>
  </si>
  <si>
    <t>IoT-edge-cloud continuum (smart cities, e-health, smart manufacturing trials)</t>
  </si>
  <si>
    <t>CI/CD; DevOps framework integration</t>
  </si>
  <si>
    <t>COGNIFOG ecosystem</t>
  </si>
  <si>
    <t>acm; scopus</t>
  </si>
  <si>
    <t>inproceedings</t>
  </si>
  <si>
    <t>Model-based fleet deployment of edge computing applications</t>
  </si>
  <si>
    <t>Song, Hui and Dautov, Rustem and Ferry, Nicolas and Solberg, Arnor and Fleurey, Franck</t>
  </si>
  <si>
    <t>10.1145/3365438.3410951</t>
  </si>
  <si>
    <t>https://doi.org/10.1145/3365438.3410951</t>
  </si>
  <si>
    <t>Edge computing brings software in close proximity to end users and IoT devices. Given the increasing number of distributed Edge devices with various contexts, as well as the widely adopted continuous delivery practices, software developers need to maintain multiple application versions and frequently (re-)deploy them to a fleet of many devices with respect to their contexts. Doing this correctly and efficiently goes beyond manual capabilities and requires employing an intelligent and reliable automated approach. Accordingly this paper describes a joint research with a Smart Healthcare application provider on a model-based approach to automatically assigning multiple software deployments to hundreds of Edge gateways. From a Platform-Specific Model obtained from the existing Edge computing platform, we extract a Platform-Independent Model that describes a list of target devices and a pool of available deployments. Next, we use constraint solving to automatically assign deployments to devices at once, given their specific contexts. The resulting solution is transformed back to the PSM as to proceed with software deployment accordingly. We validate the approach with a Fleet Deployment prototype integrated into the DevOps toolchain currently used by the application provider. Initial experiments demonstrate the viability of the approach and its usefulness in supporting DevOps in Edge computing applications.</t>
  </si>
  <si>
    <t>DevOps, IoT, device fleet, model-based software engineering, software deployment</t>
  </si>
  <si>
    <t>Proceedings of the 23rd ACM/IEEE International Conference on Model Driven Engineering Languages and Systems</t>
  </si>
  <si>
    <t>Addresses model-based automated deployment of software to fleets of Edge/IoT gateways using continuous delivery practices, touching DevOps+IoT integration with a practical case study.</t>
  </si>
  <si>
    <t>Edge/IoT device fleets (Smart Healthcare)</t>
  </si>
  <si>
    <t>model-based automated deployment; DevOps toolchain</t>
  </si>
  <si>
    <t>NeuroShield: Intelligent Cloud Alarm System for Industrial Hazards</t>
  </si>
  <si>
    <t>S. K. Tomar; R. Rajput; S. Mishra; P. Ray</t>
  </si>
  <si>
    <t>10.1109/ICOECA68095.2026.11485021</t>
  </si>
  <si>
    <t>https://ieeexplore.ieee.org/stamp/stamp.jsp?arnumber=11485021</t>
  </si>
  <si>
    <t>Industrial environments handling hazardous chemicals require rapid and reliable leak detection mechanisms to ensure safety, environmental protection, and operational continuity. Conventional leak detection systems are largely hardware dependent and reactive, offering limited scalability and predictive capability. This paper presents NeuroShield, an intelligent cloud based alarm system for chemical leak detection that integrates machine learning with DevOps driven deployment practices. The proposed system utilizes simulated sensor data representing environmental and chemical parameters to model real-time industrial conditions. Machine learning based anomaly detection techniques classify system states into normal, warning, and dangerous categories, enabling early detection and proactive response. A cloud native architecture deployed on AWS supports scalability, high availability, and centralized monitoring, while a DevOps pipeline incorporating Docker, Kubernetes, and Jenkins facilitates automated integration and deployment. Experimental results demonstrate improved responsiveness, adaptability, and predictive performance compared to conventional monitoring approaches. The proposed framework demonstrates the feasibility of software driven, artificial intelligence enabled safety systems as a scalable and cost-effective solution for industrial chemical leak detection.</t>
  </si>
  <si>
    <t>Chemical Leak Detection;Anomaly Detection;Machine Learning Based Monitoring;Cloud Native Systems;Industrial Safety;DevOps Automation;Predictive Alarms;Scalable Monitoring Architecture</t>
  </si>
  <si>
    <t>2026 6th International Conference on Expert Clouds and Applications (ICOECA)</t>
  </si>
  <si>
    <t>Presents an IoT-adjacent industrial sensor monitoring system explicitly using a DevOps pipeline (Docker, Kubernetes, Jenkins) for cloud-native deployment, addressing DevOps+IoT integration practices and tools, though the IoT framing is implicit via simulated sensors rather than direct IoT device management.</t>
  </si>
  <si>
    <t>industrial hazard sensor monitoring (simulated sensors, AWS)</t>
  </si>
  <si>
    <t>DevOps pipeline</t>
  </si>
  <si>
    <t>AWS; Docker; Kubernetes; Jenkins</t>
  </si>
  <si>
    <t>Optimizing Cloud Cost and Compliance in Azure DevOps Pipelines for Industrial Applications</t>
  </si>
  <si>
    <t>S. N. Donthi</t>
  </si>
  <si>
    <t>10.1109/IC3ET64989.2026.11467383</t>
  </si>
  <si>
    <t>https://ieeexplore.ieee.org/stamp/stamp.jsp?arnumber=11467383</t>
  </si>
  <si>
    <t>More and more, manufacturers are using Cloud DevOps pipelines for integration and deployment. When pipelines are imperfect, they can cause a high cloud cost. And it can also lead to compliance violations. This is especially true in regulated industries. Our framework aims to optimize Azure DevOps pipeline (cost and compliance). Resource scheduling is one of the techniques. The self-hosted agents, Infrastructure as Code policies and automatic compliance checks are also features of it. According to an industrial IoT application case study, the suggested approach reduces the cloud costs from $12,500 /month to $8,750/month (30 % Reduction). The number of regulatory breaches has dropped from 100 to 50 per day. Construction time has also dropped from 25 to 23 minutes. By complying with the rules and regulations of DevOps activities, the proposed plan can help industries in saving monetary values.</t>
  </si>
  <si>
    <t>Cloud DevOps;Azure;IoT and manufacturers</t>
  </si>
  <si>
    <t>2026 International Conference on Communication, Computing and Emerging Technologies (IC3ET)</t>
  </si>
  <si>
    <t>Directly presents a framework for optimizing Azure DevOps pipelines for industrial IoT applications with empirical cost and compliance results.</t>
  </si>
  <si>
    <t>industrial IoT applications (manufacturing, Azure)</t>
  </si>
  <si>
    <t>Azure DevOps pipelines; Infrastructure as Code policies; automated compliance checks</t>
  </si>
  <si>
    <t>Azure DevOps</t>
  </si>
  <si>
    <t>Overcoming New Technologies Challenges in IoT Security Labs: Strategies for Effective Adaptation</t>
  </si>
  <si>
    <t>D. Simopoulos; A. Wolf</t>
  </si>
  <si>
    <t>10.23919/IFIPNetworking57963.2023.10186388</t>
  </si>
  <si>
    <t>https://ieeexplore.ieee.org/stamp/stamp.jsp?arnumber=10186388</t>
  </si>
  <si>
    <t>With IoT technology being widely implemented in crucial domains such as personal activity and health tracking or monitoring of critical technical processes, awareness for security risks has risen. First solutions for DevSecOps in IoT have been introduced in the past to detect typical programming flaws and the vulnerabilities they impose. With the increasing power and cheap availability of unlimited cloud resources, high speed networks and AI, new and more complex attacks seem feasible. In this paper we highlight these new threats and elaborate whether known approaches to IoT security are still sufficient or new strategies to fight the threats have to be developed. Furthermore, we present our approach to use the new technological possibilities in order to increase the power of security assessment and security tests for IoT.</t>
  </si>
  <si>
    <t>Internet of Things;Artificial Intelligence;6G;DevSecOps;Cyber-Security;Threat Modeling;Security Testing</t>
  </si>
  <si>
    <t>2023 IFIP Networking Conference (IFIP Networking)</t>
  </si>
  <si>
    <t>Addresses DevSecOps practices for IoT security labs and discusses adaptation strategies for new threats, with direct relevance to DevOps+IoT security integration.</t>
  </si>
  <si>
    <t>IoT security labs (health tracking, critical process monitoring, 6G)</t>
  </si>
  <si>
    <t>DevSecOps</t>
  </si>
  <si>
    <t>Perceived benefits of Continuous Deployment in Software-Intensive Embedded Systems</t>
  </si>
  <si>
    <t>A. Dakkak; D. I. Mattos; J. Bosch</t>
  </si>
  <si>
    <t>10.1109/COMPSAC51774.2021.00126</t>
  </si>
  <si>
    <t>https://ieeexplore.ieee.org/stamp/stamp.jsp?arnumber=9529712</t>
  </si>
  <si>
    <t>Continuous Deployment (CD) advocates for quick and frequent deployments of software to production. The goal is to bring new functionality as early as possible to users while learning from their usage. CD has emerged from web-based applications where it has been gaining traction over the past years. While CD is appealing for many software development organizations, empirical evidence on perceived benefits in software-intensive embedded systems is scarce. The objective of this paper is to identify perceived benefits after transitioning to continuous deployment from a long-cycle release and deployment process. To do that, a case study at a multinational telecommunication company was conducted focusing on large and complex embedded software; the Third Generation (3G) Radio Access Network (RAN) software.</t>
  </si>
  <si>
    <t>Continuous deployment;Agile Software Development;Continuous Software Engineering;DevOps;Software-intensive embedded system</t>
  </si>
  <si>
    <t>software-intensive embedded systems (3G RAN telecom, IoT-adjacent hardware)</t>
  </si>
  <si>
    <t>Continuous Deployment (CD); Agile/Continuous Software Engineering</t>
  </si>
  <si>
    <t>REST API Testing in DevOps: A Study on an Evolving Healthcare IoT Application</t>
  </si>
  <si>
    <t>Sartaj H.; Ali S.; Gjøby J.M.</t>
  </si>
  <si>
    <t>10.1145/3765744</t>
  </si>
  <si>
    <t>https://www.scopus.com/pages/publications/105040644669?origin=resultslist</t>
  </si>
  <si>
    <t>Healthcare Internet of Things (IoT) applications often integrate various third-party healthcare applications and medical devices through REST APIs, resulting in complex and interdependent networks of REST APIs. Oslo City’s healthcare department collaborates with various industry partners to develop these applications, enriched with diverse REST APIs that evolve during the DevOps process to accommodate evolving needs such as new features, services, and devices. Oslo City’s primary goal is to utilize automated solutions for continuous testing of REST APIs at each evolution stage to ensure dependability. Although the literature offers various automated REST API testing tools, their effectiveness in regression testing of the evolving REST APIs of healthcare IoT applications within a DevOps context remains undetermined. This article evaluates state-of-the-art and well-established REST API testing tools—specifically, RESTest, EvoMaster, Schemathesis, RESTler, and RestTestGen—for the regression testing of a real-world healthcare IoT application, considering failures, faults, coverage, regressions, and cost. We conducted experiments using all accessible REST APIs (17 APIs with 120 endpoints), and 14 releases evolved during DevOps. Overall, all tools generated tests leading to several failures, 18 potential faults, up to 84% coverage, and 23 regressions. Over 70% of tests generated by all tools fail to detect failures, resulting in significant overhead. © 2026 Copyright held by the owner/author(s). Publication rights licensed to ACM.</t>
  </si>
  <si>
    <t>ACM Transactions on Software Engineering and Methodology</t>
  </si>
  <si>
    <t>Directly evaluates automated REST API testing tools within a DevOps pipeline for a real-world healthcare IoT application, providing empirical evidence on practices and tooling for DevOps+IoT integration.</t>
  </si>
  <si>
    <t>healthcare IoT (Oslo City medical devices, REST APIs)</t>
  </si>
  <si>
    <t>continuous/regression testing within DevOps</t>
  </si>
  <si>
    <t>RESTest; EvoMaster; Schemathesis; RESTler; RestTestGen</t>
  </si>
  <si>
    <t>Secure Deployment of 5G/B5G Core Network</t>
  </si>
  <si>
    <t>A. Landa-Arrue; M. Barceló; I. Garitano; A. Urbieta</t>
  </si>
  <si>
    <t>10.1109/MECO66322.2025.11049157</t>
  </si>
  <si>
    <t>https://ieeexplore.ieee.org/stamp/stamp.jsp?arnumber=11049157</t>
  </si>
  <si>
    <t>The deployment of secure and resilient FithGeneration (5G) core networks in industrial environments necessitates adopting methodologies that integrate security seamlessly into the entire development lifecycle. This paper presents a Development, Security, and Operations-based (DevSecOps) Continuous Integration/Continuous Deployment (CI/CD) pipeline designed to enhance the security of distributed 5G core networks. The proposed pipeline systematically analyzes Docker images and Kubernetes templates, detecting and mitigating vulnerabilities early in the deployment process. Automated tools such as Trivy, Checkov, Kubelinter, and Kube-bench are employed to significantly reduce security risks associated with outdated dependencies, misconfigurations, and network vulnerabilities. Additionally, integrating Lamassu IoT, a specialized PKI, enables automated digital certificate management. Results demonstrate substantial improvements in security practices, showing a marked reduction in vulnerabilities and enhanced compliance with industry standards.</t>
  </si>
  <si>
    <t>5G;DevSecOps;CI/CD;pipeline;PKI</t>
  </si>
  <si>
    <t>2025 14th Mediterranean Conference on Embedded Computing (MECO)</t>
  </si>
  <si>
    <t>Presents a DevSecOps CI/CD pipeline for 5G core network deployment with integration of Lamassu IoT PKI, giving IoT a functional role in the pipeline, though IoT is not the primary focus.</t>
  </si>
  <si>
    <t>5G/B5G core network (Lamassu IoT PKI for device certs)</t>
  </si>
  <si>
    <t>DevSecOps CI/CD pipeline</t>
  </si>
  <si>
    <t>Docker; Kubernetes; Trivy; Checkov; Kubelinter; Kube-bench; Lamassu IoT (PKI)</t>
  </si>
  <si>
    <t>acm</t>
  </si>
  <si>
    <t>Testing and deployment patterns for the internet-of-things</t>
  </si>
  <si>
    <t>Dias, Jo\~{a}o Pedro and Ferreira, Hugo Sereno and Sousa, Tiago Boldt</t>
  </si>
  <si>
    <t>10.1145/3361149.3361165</t>
  </si>
  <si>
    <t>https://doi.org/10.1145/3361149.3361165</t>
  </si>
  <si>
    <t>As with every software, Internet-of-Things (IoT) systems have their own life-cycle, from conception to construction, deployment, and operation. However, the testing requirements from these systems are slightly different due to their inherent coupling with hardware and human factors. Hence, the procedure of delivering new software versions in a continuous integration/delivery fashion must be adopted. Based on existent solutions (and inspired in other closely-related domains), we describe two common strategies that developers can use for testing IoT systems, (1) Testbed and (2) Simulation-based Testing, as well as one recurrent solution for its deployment (3) Middleman Update.</t>
  </si>
  <si>
    <t>deployment, internet-of-things, orchestration, testing</t>
  </si>
  <si>
    <t>Proceedings of the 24th European Conference on Pattern Languages of Programs</t>
  </si>
  <si>
    <t>Directly addresses testing and deployment patterns for IoT systems including CI/CD strategies such as testbed testing, simulation-based testing, and middleman update in an IoT context.</t>
  </si>
  <si>
    <t>generic IoT systems (hardware-coupled)</t>
  </si>
  <si>
    <t>CI/CD; testing patterns (testbed, simulation); deployment (middleman update)</t>
  </si>
  <si>
    <t>The PASTA threat model implementation in the IoT development life cycle</t>
  </si>
  <si>
    <t>Wolf A.; Simopoulos D.; D’Avino L.; Schwaiger P.</t>
  </si>
  <si>
    <t>10.18420/inf2020_111</t>
  </si>
  <si>
    <t>https://www.scopus.com/pages/publications/85126471832?origin=resultslist</t>
  </si>
  <si>
    <t>Recently, IoT usage has grown rapidly. Security risks are rising analogously, though. Our paper introduces an approach to identify and address security threats by applying the PASTA (Process for Attack Simulation and Threat Analysis) threat model to the IoT domain. By adapting PASTA, we optimize the threat analysis based on domain knowledge and specific needs of IoT. With integration of the PASTA results into the development process and the IoT software development life cycle, we reduce security risks. A prototype demonstrates the feasibility of the concept for security vulnerability reduction via an integrated DevSecOps toolchain. © 2020 Gesellschaft fur Informatik (GI). All rights reserved.</t>
  </si>
  <si>
    <t>Lecture Notes in Informatics (LNI), Proceedings - Series of the Gesellschaft fur Informatik (GI)</t>
  </si>
  <si>
    <t>Integrates PASTA threat modeling into the IoT software development lifecycle via a DevSecOps toolchain, addressing security practices and tooling for IoT DevOps.</t>
  </si>
  <si>
    <t>generic IoT (security threat modeling)</t>
  </si>
  <si>
    <t>DevSecOps toolchain; threat-modeling integration</t>
  </si>
  <si>
    <t>PASTA methodology</t>
  </si>
  <si>
    <t>Workload Deployment and Configuration Reconciliation at Scale in Kubernetes-Based Edge-Cloud Continuums</t>
  </si>
  <si>
    <t>D. Hass; J. Spillner</t>
  </si>
  <si>
    <t>10.1109/ISPDC55340.2022.00026</t>
  </si>
  <si>
    <t>https://ieeexplore.ieee.org/stamp/stamp.jsp?arnumber=9934988</t>
  </si>
  <si>
    <t>Continuum computing promises the abstraction of physical node location and node platform stack in order to create a seamless application deployment and execution across edges and cloud data centres. For industrial IoT applications, the demand to generate data insights in conjunction with an installed base of increasingly capable edge devices is calling for appropriate continuum computing interfaces. Derived from a case study in industrial water flow monitoring and based on the industry’s de-facto standard Kubernetes to deploy complex containerised workloads, we present an appropriate continuum deployment mechanism based on custom Kubernetes controllers and CI/CD, called Kontinuum Controller. Through synthetic experiments and a holistic cross-provider deployment, we investigate its scalability with emphasis on reconciling adjusted configuration per application and per node, a critical requirement by industrial customers. Our findings convey that Kubernetes by default would enter undesirable oscillation already for modestly sized deployments. Thus, we also discuss possible solutions.</t>
  </si>
  <si>
    <t>Continuum computing;scalability;configuration management</t>
  </si>
  <si>
    <t>2022 21st International Symposium on Parallel and Distributed Computing (ISPDC)</t>
  </si>
  <si>
    <t>Directly addresses CI/CD-based Kubernetes deployment mechanisms for industrial IoT applications across edge-cloud continuums, with empirical experiments and a concrete case study in industrial water flow monitoring.</t>
  </si>
  <si>
    <t>industrial IoT (water-flow monitoring, edge-cloud)</t>
  </si>
  <si>
    <t>CI/CD; custom Kubernetes controllers (Kontinuum Controller)</t>
  </si>
  <si>
    <t>Application development and deployment for IoT devices</t>
  </si>
  <si>
    <t>Ahmadighohandizi F.; Systä K.</t>
  </si>
  <si>
    <t>10.1007/978-3-319-72125-5_6</t>
  </si>
  <si>
    <t>https://www.scopus.com/pages/publications/85042116784?origin=resultslist</t>
  </si>
  <si>
    <t>The current IoT systems are based on simple sensors that collect data to a cloud and actuators controlled by applications in the cloud. When the devices become more powerful they will eventually become programmable and host applications. In this paper we present an application framework, development tool and execution platform for such applications. The guiding principle in designing the workflow design has been Continuous Delivery (CD) and DevOps, and our paper also provides a comparison of DevOps in the cloud and DevOps for the IoT. © Springer International Publishing AG 2018.</t>
  </si>
  <si>
    <t>Communications in Computer and Information Science</t>
  </si>
  <si>
    <t>Directly presents an application framework and workflow for IoT devices guided by Continuous Delivery and DevOps principles, including an explicit comparison of cloud DevOps versus IoT DevOps.</t>
  </si>
  <si>
    <t>generic IoT devices (sensors/actuators becoming programmable)</t>
  </si>
  <si>
    <t>Continuous Delivery; DevOps (cloud vs. IoT comparison)</t>
  </si>
  <si>
    <t>Cynefin Framework, DevOps and Secure IoT: Understanding the Nature of IoT Systems and Exploring Where in the DevOps Cycle Easy Gains Can Be Made to Increase Their Security</t>
  </si>
  <si>
    <t>Selgert F.</t>
  </si>
  <si>
    <t>10.1007/978-3-030-55583-2_19</t>
  </si>
  <si>
    <t>https://www.scopus.com/pages/publications/85096513361?origin=resultslist</t>
  </si>
  <si>
    <t>In the relatively new domain of the Internet of Things (IoT), startups and small companies thrive in and stride in bringing new products to the market. Many of them experience problems and fail to profit from their IoT innovation. A lot of those problems are security related. In IoT development, security issues are often overlooked or underestimated. This article explores, from a holistic viewpoint, how security in IoT systems can be prevented or mitigated with a minimal effort. Concepts examined are: The Cynefin framework, Business DevOps, and the role of constraints and requirements in the design phase. © 2020, Springer Nature Switzerland AG.</t>
  </si>
  <si>
    <t>Directly and substantively explores how DevOps practices can be applied throughout the IoT development lifecycle to improve security, using the Cynefin framework to motivate and structure the integration.</t>
  </si>
  <si>
    <t>IoT startups/products (security)</t>
  </si>
  <si>
    <t>Business DevOps; Cynefin framework application</t>
  </si>
  <si>
    <t>Development and Operation of Trustworthy Smart IoT Systems: The ENACT Framework</t>
  </si>
  <si>
    <t>Ferry N.; Dominiak J.; Gallon A.; González E.; Iturbe E.; Lavirotte S.; Martinez S.; Metzger A.; Muntés-Mulero V.; Nguyen P.H.; Palm A.; Rego A.; Rios E.; Riviera D.; Solberg A.; Song H.; Tigli J.-Y.; Winter T.</t>
  </si>
  <si>
    <t>10.1007/978-3-030-39306-9_9</t>
  </si>
  <si>
    <t>https://www.scopus.com/pages/publications/85079102926?origin=resultslist</t>
  </si>
  <si>
    <t>Directly presents the ENACT DevOps Framework with methods and tools specifically designed to enable DevOps practices for trustworthy Smart IoT Systems, addressing all three research questions.</t>
  </si>
  <si>
    <t>trustworthy smart IoT systems (ENACT project)</t>
  </si>
  <si>
    <t>ENACT DevOps framework; methods &amp; tools</t>
  </si>
  <si>
    <t>Enabling Cyberanalytics using IoT Clusters and Containers</t>
  </si>
  <si>
    <t>S. A. Kassif Traore; M. Valero; H. Shahriar; L. Zhao; S. Ahamed; A. Lee</t>
  </si>
  <si>
    <t>10.1109/COMPSAC54236.2022.00286</t>
  </si>
  <si>
    <t>https://ieeexplore.ieee.org/stamp/stamp.jsp?arnumber=9842500</t>
  </si>
  <si>
    <t>Containerization;web-based cyberinfrastructure;Cyberanalytics;IoT Cluster</t>
  </si>
  <si>
    <t>in 2022 IEEE 46th Annual Computers, Software, and Applications Conference (COMPSAC), 2022, pp. 1798–1803</t>
  </si>
  <si>
    <t>IoT clusters (cyberanalytics, web-based cyberinfrastructure) - no real abstract, inferred from title</t>
  </si>
  <si>
    <t>containerization</t>
  </si>
  <si>
    <t>SMADA-Fog: Semantic model driven approach to deployment and adaptivity in fog computing</t>
  </si>
  <si>
    <t>Petrovic, N; Tosic, M</t>
  </si>
  <si>
    <t>10.1016/j.simpat.2019.102033</t>
  </si>
  <si>
    <t>https://www.sciencedirect.com/science/article/pii/S1569190X19301649</t>
  </si>
  <si>
    <t>Simulation Modelling Practice and Theory, vol. 101, p. 102033, 2020, modeling and Simulation of Fog Computing. https: //www.sciencedirect.com/science/article/pii/S1569190X19301649</t>
  </si>
  <si>
    <t>model-driven deployment/adaptivity (DevOps-adjacent)</t>
  </si>
  <si>
    <t>Vulnerability detection tool in source code by building and leveraging semantic code graph</t>
  </si>
  <si>
    <t>Delaitre, S; Gutiérrez, JMP</t>
  </si>
  <si>
    <t>10.1145/3664476.3670942</t>
  </si>
  <si>
    <t>in Proceedings of the 19th International Conference on Availability, Reliability and Security, 2024, pp. 1–9</t>
  </si>
  <si>
    <t>not specified (no abstract; title indicates general source-code vulnerability detection, IoT link unclear)</t>
  </si>
  <si>
    <t>semantic code graph analysis (implied)</t>
  </si>
  <si>
    <t>Ensuring the Integrity, Confidentiality, and Availability of IoT Data in Industry 5.0: A Systematic Mapping Study</t>
  </si>
  <si>
    <t>Industry 5.0 IoT data (systematic mapping study, generic)</t>
  </si>
  <si>
    <t>not specified (mapping study, no direct DevOps tooling)</t>
  </si>
  <si>
    <t>Enhancing IoT Project Success through Agile Best Practices</t>
  </si>
  <si>
    <t>IoT project management (generic)</t>
  </si>
  <si>
    <t>Agile best practices (DevOps-adjacent)</t>
  </si>
  <si>
    <t>Performance Evaluation of Intent-Based Networking Scenarios: A GitOps and Nephio Approach</t>
  </si>
  <si>
    <t>Ghosh S.; Mavromatis I.; Antonakoglou K.; Katsaros K.</t>
  </si>
  <si>
    <t>10.1109/CSCN67557.2025.11230760</t>
  </si>
  <si>
    <t>https://www.scopus.com/pages/publications/105027121360?origin=resultslist</t>
  </si>
  <si>
    <t>intent-based networking (network infrastructure, IoT-adjacent)</t>
  </si>
  <si>
    <t>GitOps</t>
  </si>
  <si>
    <t>Nephio</t>
  </si>
  <si>
    <t>Rapid Prototyping &amp; Development Life Cycle for Smart Applications of Internet of Entities</t>
  </si>
  <si>
    <t>10.1109/ICECCS59891.2023.00026</t>
  </si>
  <si>
    <t>https://www.scopus.com/pages/publications/85179096237?origin=resultslist</t>
  </si>
  <si>
    <t>Proceedings of the IEEE International Conference on Engineering of Complex Computer Systems, ICECCS</t>
  </si>
  <si>
    <t>A range of new kind of applications are growing for the integration of different technologies and needs such as IoT/IoE (Internet of Things/Everything), WoT (web of things), Digital twins and smart data models, data spaces. These applications demand less attention to the storage modeling since the adopted big data stores are less structured. Therefore, the connection from data storage to visual representation can be more automated. All these aspects open the path for rapid prototyping. In this paper a fast-prototyping development lifecycle for that category of smart applications is proposed. The proposed solution works on heterogeneous data types, push and pull, wide interoperability, covering all aspects from data ingestion to front-end. It can be regarded as a specific declination of AGILE development paradigm in which several activities have been strongly shortened by exploiting a number of modelling facilities of the development environment and technologies. The proposed development lifecycle was defined and tuned for the Snap4City platform, which provides an integrated development environment for rapid prototyping of smart application based on low coding, including visual programming, and a number of visual tools for creating the applications. The solution has been validated in the context of multiple interconnected scenarios of several large-scale projects and pilots such as Herit-Data, Panacea, Resolute, Replicate, TRAFAIR, etc. © 2023 IEEE.</t>
  </si>
  <si>
    <t>generic smart applications (IoT/IoE, WoT, digital twins, multiple pilot domains)</t>
  </si>
  <si>
    <t>Agile-based rapid-prototyping lifecycle (DevOps-adjacent, low-code)</t>
  </si>
  <si>
    <t>Snap4City platform</t>
  </si>
  <si>
    <t>DEVSECOPS PIPELINE FOR PROVIDING SECURITY OF IOT CLIENT INTERFACES; [DEVSECOPS-ПАЙПЛАЙН ДЛЯ ЗАБЕЗПЕЧЕННЯ БЕЗПЕКИ КЛІЄНТСЬКИХ ІНТЕРФЕЙСІВ СИСТЕМ IOT]</t>
  </si>
  <si>
    <t>10.32620/reks.2026.2.06</t>
  </si>
  <si>
    <t>https://www.scopus.com/pages/publications/105047059433?origin=resultslist</t>
  </si>
  <si>
    <t>Radioelectronic and Computer Systems</t>
  </si>
  <si>
    <t>This article examines the processes for ensuring the information security of client interfaces (Front-end) in Internet of Things (IoT) systems. This study aims to develop and implement an automated DevSecOps pipeline integrated into the Gulp build environment to detect and block code vulnerabilities at the earliest stages of development (the Shift Left concept). The tasks are as follows: 1) analyze technological opportunities and challenges of implementing DevSecOps for IoT web interfaces; 2) analyze possible threats and vulnerabilities inherent in client-side code; 3) analyze existing approaches to integrating SAST tools into automated workflows; 4) analyze options for using standard automation tools (such as Gulp) to solve security tasks; 5) propose a DevSecOps pipeline architecture for the security of client interfaces; 6) propose a sequence of critical components and experimentally verify the effectiveness of the proposed solution. Based on the set tasks, the following results were obtained. An analysis of security problems in modern JavaScript-based IoT interfaces was conducted, and the need for automated code control was substantiated. An architecture for a DevSecOps pipeline is proposed using Gulp.js as an automation tool and a configured ESLint as a SAST scanner. A Gulp plugin ("wrapper") has been developed and implemented, providing continuous code monitoring during development. The system successfully identifies dangerous patterns (e.g., the use of eval functions or vulnerable setTimeout constructions) and blocks such code from entering the final release (Artifact). The proposed approach does not create significant overhead on the development process but guarantees compliance with security policies. Conclusions. The main contribution and scientific novelty of the results lie in creating an adaptive, easily integrated protection mechanism for the IoT ecosystem by integrating Static Application Security Testing (SAST) tools directly into the Gulp task runner architecture. Applying DevSecOps practices at the build level minimizes human-factor risks and increases overall trust in smart device management systems. The proposed solution is scalable and can serve as a foundational element of a cybersecurity strategy for Internet of Things projects. Creative Commons Attribution NonCommercial 4.0 International</t>
  </si>
  <si>
    <t>IoT client interfaces (JavaScript front-end)</t>
  </si>
  <si>
    <t>DevSecOps pipeline; Shift-Left SAST</t>
  </si>
  <si>
    <t>Gulp.js; ESLint</t>
  </si>
  <si>
    <t>A Proposal of Secure and Automated Over-the-Air Firmware Update Mechanism for IoT Devices Using Continuous Integration and Continuous Delivery</t>
  </si>
  <si>
    <t>10.3390/s26051535</t>
  </si>
  <si>
    <t>https://www.scopus.com/pages/publications/105032644084?origin=resultslist</t>
  </si>
  <si>
    <t>The Internet of Things (IoT) technology has grown rapidly over the past decade, resulting in deployments of thousands of IoT devices around the world. Then, managing firmware updates for these numerous devices poses significant challenges. Firmware updates face issues such as version rollback, modified firmware files, and potential man-in-the-middle (MITM) attacks, highlighting the need for a secure over-the-air (OTA) firmware update mechanism. In this paper, we propose an automated OTA firmware update mechanism, integrated with continuous integration (CI) and continuous delivery (CD) to ensure trusted sources for firmware origins. It offers security, error handling during firmware updates, and monitoring of the update process. For evaluations, we implemented the proposal with the SEMAR IoT application server that has been implemented in our previous studies. Then, we verified the integrity and authentication, measured the performance and resource utilization, and performed benchmarking tests to assess the efficiency. The results demonstrate that the proposal is sufficiently reliable and efficient. © 2026 by the authors.</t>
  </si>
  <si>
    <t>IoT devices (firmware updates, generic)</t>
  </si>
  <si>
    <t>Continuous Integration; Continuous Delivery; OTA update automation</t>
  </si>
  <si>
    <t>SEMAR IoT application server</t>
  </si>
  <si>
    <t>A self organizing cyber physical system for sustainable agriculture</t>
  </si>
  <si>
    <t>10.1007/s43926-025-00205-6</t>
  </si>
  <si>
    <t>https://www.scopus.com/pages/publications/105015069810?origin=resultslist</t>
  </si>
  <si>
    <t>Discover Internet of Things</t>
  </si>
  <si>
    <t>The transformation of food production through digital tools and technologies requires not only advanced devices and processing capabilities, but also a holistic agricultural framework that unifies multiple types of stakeholders across the agri-food chain. This paper introduces the AGRARIAN platform, a stakeholder-centric, self-organizing Cyber-Physical System designed to answer the modern and future demands of sustainable agriculture, unifying farmers, developers and policy makers, all in one dynamic and scalable ecosystem. Integrating hybrid communications, lightweight services orchestration, continuous development and cross-farm decision support, the AGRARIAN platform offers a complete solution for the next generation of farm management. For the platform validation, field trials were performed for the use case of livestock monitoring in a remote area, using commercial communication links (5 G, WiFi and satellite) for real-world system evaluation. The measurements and the results analysis confirmed the capacity of the AGRARIAN platform to support the necessary functions and services, opening the way towards modern and sustainable farming. © The Author(s) 2025.</t>
  </si>
  <si>
    <t>sustainable/precision agriculture (livestock monitoring, AGRARIAN platform)</t>
  </si>
  <si>
    <t>continuous development; lightweight services orchestration (DevOps-adjacent)</t>
  </si>
  <si>
    <t>5G; WiFi; satellite comms (AGRARIAN platform)</t>
  </si>
  <si>
    <t>TOTALE</t>
  </si>
  <si>
    <t>Citazioni totali tenendo conto della presenza su più aree</t>
  </si>
  <si>
    <t>Quality Score totale</t>
  </si>
  <si>
    <t>PERFO</t>
  </si>
  <si>
    <t>Citazioni medie</t>
  </si>
  <si>
    <t>Mediano Citazioni</t>
  </si>
  <si>
    <t>IoT edge computing</t>
  </si>
  <si>
    <t>Cyber-Physical 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</si>
</sst>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3" x14ac:knownFonts="1">
    <font>
      <sz val="11"/>
      <color theme="1"/>
      <name val="Aptos Narrow"/>
      <family val="2"/>
      <scheme val="minor"/>
    </font>
    <font>
      <sz val="11"/>
      <color theme="1"/>
      <name val="Aptos Narrow"/>
      <family val="2"/>
      <scheme val="minor"/>
    </font>
    <font>
      <u/>
      <sz val="11"/>
      <color theme="10"/>
      <name val="Aptos Narrow"/>
      <family val="2"/>
      <scheme val="minor"/>
    </font>
    <font>
      <sz val="8"/>
      <color theme="1"/>
      <name val="Aptos Narrow"/>
      <family val="2"/>
      <scheme val="minor"/>
    </font>
    <font>
      <b/>
      <sz val="11"/>
      <color theme="1"/>
      <name val="Aptos Narrow"/>
      <family val="2"/>
      <scheme val="minor"/>
    </font>
    <font>
      <sz val="10"/>
      <color theme="1"/>
      <name val="Aptos Narrow"/>
      <family val="2"/>
      <scheme val="minor"/>
    </font>
    <font>
      <sz val="11"/>
      <color theme="3"/>
      <name val="Aptos Narrow"/>
      <family val="2"/>
      <scheme val="minor"/>
    </font>
    <font>
      <sz val="11"/>
      <color indexed="8"/>
      <name val="Aptos Narrow"/>
      <family val="2"/>
      <scheme val="minor"/>
    </font>
    <font>
      <sz val="10"/>
      <name val="Arial"/>
      <family val="2"/>
    </font>
    <font>
      <sz val="10"/>
      <name val="Arial"/>
    </font>
    <font>
      <sz val="16"/>
      <color theme="1"/>
      <name val="Aptos Narrow"/>
      <family val="2"/>
      <scheme val="minor"/>
    </font>
    <font>
      <b/>
      <sz val="10"/>
      <color theme="1"/>
      <name val="Aptos Narrow"/>
      <family val="2"/>
      <scheme val="minor"/>
    </font>
    <font>
      <b/>
      <sz val="11"/>
      <color theme="0"/>
      <name val="Aptos Narrow"/>
      <family val="2"/>
      <scheme val="minor"/>
    </font>
  </fonts>
  <fills count="17">
    <fill>
      <patternFill patternType="none"/>
    </fill>
    <fill>
      <patternFill patternType="gray125"/>
    </fill>
    <fill>
      <patternFill patternType="solid">
        <fgColor theme="9" tint="0.79998168889431442"/>
        <bgColor theme="9" tint="0.79998168889431442"/>
      </patternFill>
    </fill>
    <fill>
      <patternFill patternType="solid">
        <fgColor theme="7"/>
        <bgColor indexed="64"/>
      </patternFill>
    </fill>
    <fill>
      <patternFill patternType="solid">
        <fgColor theme="1"/>
        <bgColor indexed="64"/>
      </patternFill>
    </fill>
    <fill>
      <patternFill patternType="solid">
        <fgColor theme="8"/>
        <bgColor indexed="64"/>
      </patternFill>
    </fill>
    <fill>
      <patternFill patternType="solid">
        <fgColor theme="6"/>
        <bgColor indexed="64"/>
      </patternFill>
    </fill>
    <fill>
      <patternFill patternType="solid">
        <fgColor theme="5"/>
        <bgColor indexed="64"/>
      </patternFill>
    </fill>
    <fill>
      <patternFill patternType="solid">
        <fgColor theme="4"/>
        <bgColor indexed="64"/>
      </patternFill>
    </fill>
    <fill>
      <patternFill patternType="solid">
        <fgColor theme="3"/>
        <bgColor indexed="64"/>
      </patternFill>
    </fill>
    <fill>
      <patternFill patternType="solid">
        <fgColor theme="0" tint="-0.499984740745262"/>
        <bgColor indexed="64"/>
      </patternFill>
    </fill>
    <fill>
      <patternFill patternType="solid">
        <fgColor theme="3" tint="0.749992370372631"/>
        <bgColor indexed="64"/>
      </patternFill>
    </fill>
    <fill>
      <patternFill patternType="solid">
        <fgColor theme="1" tint="0.49998474074526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bgColor theme="9"/>
      </patternFill>
    </fill>
  </fills>
  <borders count="3">
    <border>
      <left/>
      <right/>
      <top/>
      <bottom/>
      <diagonal/>
    </border>
    <border>
      <left/>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s>
  <cellStyleXfs count="7">
    <xf numFmtId="0" fontId="0" fillId="0" borderId="0"/>
    <xf numFmtId="0" fontId="1" fillId="0" borderId="0"/>
    <xf numFmtId="0" fontId="2" fillId="0" borderId="0"/>
    <xf numFmtId="9" fontId="1" fillId="0" borderId="0"/>
    <xf numFmtId="0" fontId="7" fillId="0" borderId="0"/>
    <xf numFmtId="0" fontId="8" fillId="0" borderId="0"/>
    <xf numFmtId="0" fontId="9" fillId="0" borderId="0"/>
  </cellStyleXfs>
  <cellXfs count="57">
    <xf numFmtId="0" fontId="0" fillId="0" borderId="0" xfId="0"/>
    <xf numFmtId="0" fontId="0" fillId="0" borderId="0" xfId="0" applyAlignment="1">
      <alignment horizontal="center"/>
    </xf>
    <xf numFmtId="0" fontId="2" fillId="0" borderId="0" xfId="2"/>
    <xf numFmtId="0" fontId="0" fillId="0" borderId="1" xfId="0" applyBorder="1"/>
    <xf numFmtId="1" fontId="0" fillId="0" borderId="0" xfId="0" applyNumberFormat="1"/>
    <xf numFmtId="0" fontId="0" fillId="0" borderId="1" xfId="0" applyBorder="1" applyAlignment="1">
      <alignment horizontal="center"/>
    </xf>
    <xf numFmtId="0" fontId="0" fillId="0" borderId="0" xfId="0" applyAlignment="1">
      <alignment horizontal="center" vertical="center"/>
    </xf>
    <xf numFmtId="0" fontId="0" fillId="0" borderId="1" xfId="0" applyBorder="1" applyAlignment="1">
      <alignment horizontal="center" vertical="center"/>
    </xf>
    <xf numFmtId="0" fontId="0" fillId="2" borderId="0" xfId="0" applyFill="1" applyAlignment="1">
      <alignment horizontal="center"/>
    </xf>
    <xf numFmtId="0" fontId="5" fillId="0" borderId="0" xfId="0" applyFont="1"/>
    <xf numFmtId="0" fontId="5" fillId="0" borderId="0" xfId="0" applyFont="1" applyAlignment="1">
      <alignment horizontal="center" vertical="center"/>
    </xf>
    <xf numFmtId="0" fontId="5" fillId="0" borderId="0" xfId="0" applyFont="1" applyAlignment="1">
      <alignment horizontal="center"/>
    </xf>
    <xf numFmtId="0" fontId="4" fillId="0" borderId="0" xfId="0" applyFont="1"/>
    <xf numFmtId="0" fontId="0" fillId="0" borderId="0" xfId="0" applyAlignment="1">
      <alignment horizontal="center" vertical="center" wrapText="1"/>
    </xf>
    <xf numFmtId="0" fontId="0" fillId="0" borderId="2" xfId="0" applyBorder="1"/>
    <xf numFmtId="9" fontId="0" fillId="0" borderId="0" xfId="3" applyFont="1"/>
    <xf numFmtId="9" fontId="0" fillId="0" borderId="0" xfId="0" applyNumberFormat="1"/>
    <xf numFmtId="0" fontId="6" fillId="11" borderId="0" xfId="0" applyFont="1" applyFill="1" applyAlignment="1">
      <alignment horizontal="center" vertical="center"/>
    </xf>
    <xf numFmtId="0" fontId="6" fillId="12" borderId="0" xfId="0" applyFont="1" applyFill="1" applyAlignment="1">
      <alignment horizontal="center" vertical="center" wrapText="1"/>
    </xf>
    <xf numFmtId="1" fontId="0" fillId="0" borderId="1" xfId="0" applyNumberFormat="1" applyBorder="1"/>
    <xf numFmtId="0" fontId="10" fillId="13" borderId="0" xfId="0" applyFont="1" applyFill="1" applyAlignment="1">
      <alignment horizontal="center" vertical="center" textRotation="255" shrinkToFit="1"/>
    </xf>
    <xf numFmtId="0" fontId="0" fillId="13" borderId="0" xfId="0" applyFill="1" applyAlignment="1">
      <alignment horizontal="center" vertical="center"/>
    </xf>
    <xf numFmtId="0" fontId="0" fillId="13" borderId="1" xfId="0" applyFill="1" applyBorder="1" applyAlignment="1">
      <alignment horizontal="center" vertical="center"/>
    </xf>
    <xf numFmtId="0" fontId="3" fillId="3" borderId="0" xfId="0" applyFont="1" applyFill="1" applyAlignment="1">
      <alignment horizontal="center" vertical="center" textRotation="255" shrinkToFit="1"/>
    </xf>
    <xf numFmtId="0" fontId="0" fillId="0" borderId="2" xfId="0" applyBorder="1" applyAlignment="1">
      <alignment horizontal="center" vertical="center" wrapText="1"/>
    </xf>
    <xf numFmtId="0" fontId="5" fillId="0" borderId="2" xfId="0" applyFont="1" applyBorder="1"/>
    <xf numFmtId="0" fontId="5" fillId="0" borderId="2" xfId="0" applyFont="1" applyBorder="1" applyAlignment="1">
      <alignment horizontal="center" vertical="center"/>
    </xf>
    <xf numFmtId="0" fontId="4" fillId="11" borderId="2" xfId="0" applyFont="1" applyFill="1" applyBorder="1"/>
    <xf numFmtId="0" fontId="4" fillId="11" borderId="2" xfId="0" applyFont="1" applyFill="1" applyBorder="1" applyAlignment="1">
      <alignment horizontal="center" vertical="center"/>
    </xf>
    <xf numFmtId="0" fontId="0" fillId="14" borderId="0" xfId="0" applyFill="1"/>
    <xf numFmtId="9" fontId="4" fillId="14" borderId="2" xfId="3" applyFont="1" applyFill="1" applyBorder="1"/>
    <xf numFmtId="2" fontId="4" fillId="15" borderId="2" xfId="0" applyNumberFormat="1" applyFont="1" applyFill="1" applyBorder="1"/>
    <xf numFmtId="0" fontId="4" fillId="14" borderId="0" xfId="0" applyFont="1" applyFill="1"/>
    <xf numFmtId="9" fontId="4" fillId="0" borderId="2" xfId="3" applyFont="1" applyBorder="1"/>
    <xf numFmtId="0" fontId="0" fillId="0" borderId="2" xfId="0" applyBorder="1" applyAlignment="1">
      <alignment horizontal="right"/>
    </xf>
    <xf numFmtId="0" fontId="0" fillId="0" borderId="2" xfId="0" applyBorder="1" applyAlignment="1">
      <alignment horizontal="right" vertical="center"/>
    </xf>
    <xf numFmtId="2" fontId="4" fillId="15" borderId="2" xfId="0" applyNumberFormat="1" applyFont="1" applyFill="1" applyBorder="1" applyAlignment="1">
      <alignment horizontal="right"/>
    </xf>
    <xf numFmtId="9" fontId="4" fillId="14" borderId="2" xfId="3" applyFont="1" applyFill="1" applyBorder="1" applyAlignment="1">
      <alignment horizontal="right"/>
    </xf>
    <xf numFmtId="0" fontId="3" fillId="8" borderId="0" xfId="0" applyFont="1" applyFill="1" applyAlignment="1">
      <alignment horizontal="center" vertical="center" textRotation="255" shrinkToFit="1"/>
    </xf>
    <xf numFmtId="0" fontId="3" fillId="4" borderId="0" xfId="0" applyFont="1" applyFill="1" applyAlignment="1">
      <alignment horizontal="center" vertical="center" textRotation="255" shrinkToFit="1"/>
    </xf>
    <xf numFmtId="0" fontId="4" fillId="11" borderId="2" xfId="0" applyFont="1" applyFill="1" applyBorder="1" applyAlignment="1">
      <alignment horizontal="center"/>
    </xf>
    <xf numFmtId="0" fontId="0" fillId="0" borderId="2" xfId="0" applyBorder="1" applyAlignment="1">
      <alignment horizontal="center"/>
    </xf>
    <xf numFmtId="2" fontId="4" fillId="15" borderId="2" xfId="0" applyNumberFormat="1" applyFont="1" applyFill="1" applyBorder="1" applyAlignment="1">
      <alignment horizontal="center"/>
    </xf>
    <xf numFmtId="9" fontId="4" fillId="14" borderId="2" xfId="3" applyFont="1" applyFill="1" applyBorder="1" applyAlignment="1">
      <alignment horizontal="center"/>
    </xf>
    <xf numFmtId="9" fontId="4" fillId="0" borderId="2" xfId="3" applyFont="1" applyBorder="1" applyAlignment="1">
      <alignment horizontal="center"/>
    </xf>
    <xf numFmtId="0" fontId="5" fillId="0" borderId="2" xfId="0" applyFont="1" applyBorder="1" applyAlignment="1">
      <alignment horizontal="center"/>
    </xf>
    <xf numFmtId="0" fontId="0" fillId="10" borderId="0" xfId="0" applyFill="1" applyAlignment="1">
      <alignment horizontal="center" vertical="center" textRotation="255" shrinkToFit="1"/>
    </xf>
    <xf numFmtId="0" fontId="4" fillId="0" borderId="0" xfId="0" applyFont="1" applyAlignment="1">
      <alignment horizontal="center"/>
    </xf>
    <xf numFmtId="0" fontId="0" fillId="0" borderId="0" xfId="0" applyAlignment="1">
      <alignment horizontal="right" vertical="center"/>
    </xf>
    <xf numFmtId="164" fontId="0" fillId="0" borderId="0" xfId="0" applyNumberFormat="1" applyAlignment="1">
      <alignment horizontal="center"/>
    </xf>
    <xf numFmtId="0" fontId="4" fillId="15" borderId="0" xfId="0" applyFont="1" applyFill="1" applyAlignment="1">
      <alignment horizontal="right"/>
    </xf>
    <xf numFmtId="0" fontId="11" fillId="14" borderId="0" xfId="0" applyFont="1" applyFill="1" applyAlignment="1">
      <alignment horizontal="right"/>
    </xf>
    <xf numFmtId="0" fontId="3" fillId="5" borderId="0" xfId="0" applyFont="1" applyFill="1" applyAlignment="1">
      <alignment horizontal="center" vertical="center" textRotation="255" shrinkToFit="1"/>
    </xf>
    <xf numFmtId="0" fontId="3" fillId="6" borderId="0" xfId="0" applyFont="1" applyFill="1" applyAlignment="1">
      <alignment horizontal="center" vertical="center" textRotation="255" shrinkToFit="1"/>
    </xf>
    <xf numFmtId="0" fontId="3" fillId="7" borderId="0" xfId="0" applyFont="1" applyFill="1" applyAlignment="1">
      <alignment horizontal="center" vertical="center" textRotation="255" shrinkToFit="1"/>
    </xf>
    <xf numFmtId="0" fontId="3" fillId="9" borderId="0" xfId="0" applyFont="1" applyFill="1" applyAlignment="1">
      <alignment horizontal="center" vertical="center" textRotation="255" shrinkToFit="1"/>
    </xf>
    <xf numFmtId="0" fontId="12" fillId="16" borderId="1" xfId="0" applyFont="1" applyFill="1" applyBorder="1" applyAlignment="1">
      <alignment horizontal="center" vertical="center"/>
    </xf>
  </cellXfs>
  <cellStyles count="7">
    <cellStyle name="Hyperlink" xfId="2" builtinId="8"/>
    <cellStyle name="Normal" xfId="0" builtinId="0"/>
    <cellStyle name="Normal 2" xfId="4" xr:uid="{00000000-0005-0000-0000-000004000000}"/>
    <cellStyle name="Normal 3" xfId="5" xr:uid="{00000000-0005-0000-0000-000005000000}"/>
    <cellStyle name="Normal 4" xfId="6" xr:uid="{00000000-0005-0000-0000-000006000000}"/>
    <cellStyle name="Normale 2" xfId="1" xr:uid="{00000000-0005-0000-0000-000001000000}"/>
    <cellStyle name="Percent" xfId="3" builtinId="5"/>
  </cellStyles>
  <dxfs count="71">
    <dxf>
      <alignment horizontal="center" vertical="center" indent="0" justifyLastLine="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alignment horizontal="center" vertical="bottom"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fill>
        <patternFill patternType="solid">
          <fgColor indexed="64"/>
          <bgColor theme="2" tint="-9.9978637043366805E-2"/>
        </patternFill>
      </fill>
      <alignment horizontal="center"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dxf>
    <dxf>
      <alignment horizontal="center"/>
    </dxf>
    <dxf>
      <alignment horizontal="center"/>
    </dxf>
    <dxf>
      <alignment horizontal="center"/>
    </dxf>
    <dxf>
      <alignment horizontal="center"/>
    </dxf>
    <dxf>
      <alignment horizontal="general"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center"/>
    </dxf>
    <dxf>
      <alignment horizontal="center" vertical="bottom"/>
    </dxf>
    <dxf>
      <numFmt numFmtId="0" formatCode="General"/>
      <alignment horizontal="center" vertical="bottom"/>
    </dxf>
    <dxf>
      <alignment horizontal="center" vertical="bottom"/>
    </dxf>
    <dxf>
      <alignment horizont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alignment horizont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numFmt numFmtId="0" formatCode="General"/>
      <fill>
        <patternFill patternType="solid">
          <fgColor indexed="64"/>
          <bgColor theme="2" tint="-9.9978637043366805E-2"/>
        </patternFill>
      </fill>
      <alignment horizontal="center" vertical="center"/>
    </dxf>
    <dxf>
      <alignment horizontal="center"/>
    </dxf>
    <dxf>
      <numFmt numFmtId="0" formatCode="General"/>
      <fill>
        <patternFill patternType="solid">
          <fgColor indexed="64"/>
          <bgColor theme="2" tint="-9.9978637043366805E-2"/>
        </patternFill>
      </fill>
      <alignment horizontal="center" vertical="center"/>
    </dxf>
    <dxf>
      <numFmt numFmtId="0" formatCode="General"/>
      <fill>
        <patternFill>
          <fgColor indexed="64"/>
          <bgColor theme="2" tint="-9.9978637043366805E-2"/>
        </patternFill>
      </fill>
      <alignment horizontal="center" vertical="center"/>
    </dxf>
    <dxf>
      <numFmt numFmtId="0" formatCode="General"/>
      <alignment horizontal="center"/>
    </dxf>
    <dxf>
      <numFmt numFmtId="0" formatCode="General"/>
      <alignment horizontal="center"/>
    </dxf>
    <dxf>
      <numFmt numFmtId="1" formatCode="0"/>
    </dxf>
    <dxf>
      <numFmt numFmtId="1" formatCode="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5" displayName="Tabella15" ref="A1:BN123" totalsRowCount="1" headerRowDxfId="0">
  <autoFilter ref="A1:BN122" xr:uid="{00000000-0009-0000-0100-000001000000}"/>
  <sortState xmlns:xlrd2="http://schemas.microsoft.com/office/spreadsheetml/2017/richdata2" ref="A2:BN122">
    <sortCondition ref="F2:F122"/>
  </sortState>
  <tableColumns count="66">
    <tableColumn id="1" xr3:uid="{00000000-0010-0000-0000-000001000000}" name="source"/>
    <tableColumn id="3" xr3:uid="{00000000-0010-0000-0000-000003000000}" name="document_type"/>
    <tableColumn id="25" xr3:uid="{00000000-0010-0000-0000-000019000000}" name="type_C_J" dataDxfId="70"/>
    <tableColumn id="34" xr3:uid="{00000000-0010-0000-0000-000022000000}" name="AREA"/>
    <tableColumn id="23" xr3:uid="{00000000-0010-0000-0000-000017000000}" name="OUR-EVALUATION"/>
    <tableColumn id="35" xr3:uid="{00000000-0010-0000-0000-000023000000}" name="nome-file2" dataDxfId="69" totalsRowDxfId="68"/>
    <tableColumn id="7" xr3:uid="{00000000-0010-0000-0000-000007000000}" name="TITLE" totalsRowFunction="count"/>
    <tableColumn id="59" xr3:uid="{00000000-0010-0000-0000-00003B000000}" name="PUNTO" totalsRowFunction="sum" dataDxfId="67" totalsRowDxfId="31">
      <calculatedColumnFormula>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calculatedColumnFormula>
    </tableColumn>
    <tableColumn id="24" xr3:uid="{00000000-0010-0000-0000-000018000000}" name="SOVRAPPOSIZIONI" dataDxfId="66" totalsRowDxfId="30">
      <calculatedColumnFormula>(Tabella15[[#This Row],[ALL5]]+Tabella15[[#This Row],[ALL6]]+Tabella15[[#This Row],[ALL22]]+Tabella15[[#This Row],[ALL32]]+Tabella15[[#This Row],[ALL7]]+Tabella15[[#This Row],[ALL8]])</calculatedColumnFormula>
    </tableColumn>
    <tableColumn id="77" xr3:uid="{00000000-0010-0000-0000-00004D000000}" name="NEW MODEL"/>
    <tableColumn id="78" xr3:uid="{00000000-0010-0000-0000-00004E000000}" name="MBSE"/>
    <tableColumn id="79" xr3:uid="{00000000-0010-0000-0000-00004F000000}" name="IOT SPECFIC"/>
    <tableColumn id="42" xr3:uid="{00000000-0010-0000-0000-00002A000000}" name="ALL" dataDxfId="65" totalsRowDxfId="29">
      <calculatedColumnFormula>Tabella15[[#This Row],[IOT SPECFIC]]+Tabella15[[#This Row],[MBSE]]+Tabella15[[#This Row],[NEW MODEL]]</calculatedColumnFormula>
    </tableColumn>
    <tableColumn id="62" xr3:uid="{00000000-0010-0000-0000-00003E000000}" name="ALL5" totalsRowFunction="sum" dataDxfId="64" totalsRowDxfId="28">
      <calculatedColumnFormula>IF(Tabella15[[#This Row],[ALL]]&gt;0,1,0)</calculatedColumnFormula>
    </tableColumn>
    <tableColumn id="80" xr3:uid="{00000000-0010-0000-0000-000050000000}" name="DEPLOYMENT" dataDxfId="63" totalsRowDxfId="27"/>
    <tableColumn id="66" xr3:uid="{00000000-0010-0000-0000-000042000000}" name="ALL6" totalsRowFunction="sum" dataDxfId="62" totalsRowDxfId="26">
      <calculatedColumnFormula>IF(Tabella15[[#This Row],[DEPLOYMENT]]&gt;0,1,0)</calculatedColumnFormula>
    </tableColumn>
    <tableColumn id="81" xr3:uid="{00000000-0010-0000-0000-000051000000}" name="ORCHESTRATION"/>
    <tableColumn id="82" xr3:uid="{00000000-0010-0000-0000-000052000000}" name="High Level"/>
    <tableColumn id="83" xr3:uid="{00000000-0010-0000-0000-000053000000}" name="issues"/>
    <tableColumn id="57" xr3:uid="{00000000-0010-0000-0000-000039000000}" name="ALL2" dataDxfId="61" totalsRowDxfId="25">
      <calculatedColumnFormula>Tabella15[[#This Row],[issues]]+Tabella15[[#This Row],[High Level]]+Tabella15[[#This Row],[ORCHESTRATION]]</calculatedColumnFormula>
    </tableColumn>
    <tableColumn id="67" xr3:uid="{00000000-0010-0000-0000-000043000000}" name="ALL22" totalsRowFunction="sum" dataDxfId="60" totalsRowDxfId="24">
      <calculatedColumnFormula>IF(Tabella15[[#This Row],[ALL2]]&gt;0,1,0)</calculatedColumnFormula>
    </tableColumn>
    <tableColumn id="70" xr3:uid="{00000000-0010-0000-0000-000046000000}" name="Performance"/>
    <tableColumn id="71" xr3:uid="{00000000-0010-0000-0000-000047000000}" name="Monitoring"/>
    <tableColumn id="72" xr3:uid="{00000000-0010-0000-0000-000048000000}" name="Logginh"/>
    <tableColumn id="58" xr3:uid="{00000000-0010-0000-0000-00003A000000}" name="ALL3" dataDxfId="59" totalsRowDxfId="23">
      <calculatedColumnFormula>Tabella15[[#This Row],[Logginh]]+Tabella15[[#This Row],[Monitoring]]+Tabella15[[#This Row],[Performance]]</calculatedColumnFormula>
    </tableColumn>
    <tableColumn id="68" xr3:uid="{00000000-0010-0000-0000-000044000000}" name="ALL32" totalsRowFunction="sum" dataDxfId="58" totalsRowDxfId="22">
      <calculatedColumnFormula>IF(Tabella15[[#This Row],[ALL3]]&gt;0,1,0)</calculatedColumnFormula>
    </tableColumn>
    <tableColumn id="73" xr3:uid="{00000000-0010-0000-0000-000049000000}" name="TESTING" dataDxfId="57" totalsRowDxfId="21"/>
    <tableColumn id="69" xr3:uid="{00000000-0010-0000-0000-000045000000}" name="ALL7" totalsRowFunction="sum" dataDxfId="56" totalsRowDxfId="20">
      <calculatedColumnFormula>IF(Tabella15[[#This Row],[TESTING]]&gt;0,1,0)</calculatedColumnFormula>
    </tableColumn>
    <tableColumn id="74" xr3:uid="{00000000-0010-0000-0000-00004A000000}" name="SECURITY"/>
    <tableColumn id="75" xr3:uid="{00000000-0010-0000-0000-00004B000000}" name="DEVSECOPS"/>
    <tableColumn id="76" xr3:uid="{00000000-0010-0000-0000-00004C000000}" name="ADDITIONAL"/>
    <tableColumn id="63" xr3:uid="{00000000-0010-0000-0000-00003F000000}" name="MATURITY MODEL"/>
    <tableColumn id="64" xr3:uid="{00000000-0010-0000-0000-000040000000}" name="PRIVACY"/>
    <tableColumn id="61" xr3:uid="{00000000-0010-0000-0000-00003D000000}" name="ALL4" dataDxfId="55" totalsRowDxfId="19">
      <calculatedColumnFormula>Tabella15[[#This Row],[PRIVACY]]+Tabella15[[#This Row],[MATURITY MODEL]]+Tabella15[[#This Row],[ADDITIONAL]]+Tabella15[[#This Row],[DEVSECOPS]]+Tabella15[[#This Row],[SECURITY]]</calculatedColumnFormula>
    </tableColumn>
    <tableColumn id="84" xr3:uid="{00000000-0010-0000-0000-000054000000}" name="ALL8" totalsRowFunction="sum" dataDxfId="54" totalsRowDxfId="18">
      <calculatedColumnFormula>IF(Tabella15[[#This Row],[ALL4]]&gt;0,1,0)</calculatedColumnFormula>
    </tableColumn>
    <tableColumn id="65" xr3:uid="{00000000-0010-0000-0000-000041000000}" name="SYSTEM" totalsRowLabel="TOTALE" dataDxfId="53" totalsRowDxfId="17"/>
    <tableColumn id="17" xr3:uid="{00000000-0010-0000-0000-000011000000}" name="Citazioni distinte" totalsRowFunction="sum" dataDxfId="52" totalsRowDxfId="16"/>
    <tableColumn id="53" xr3:uid="{00000000-0010-0000-0000-000035000000}" name="Citazioni considerate su più aree" totalsRowFunction="sum" dataDxfId="51" totalsRowDxfId="15">
      <calculatedColumnFormula>(Tabella15[[#This Row],[ALL5]]+Tabella15[[#This Row],[ALL6]]+Tabella15[[#This Row],[ALL22]]+Tabella15[[#This Row],[ALL32]]+Tabella15[[#This Row],[ALL7]]+Tabella15[[#This Row],[ALL8]])*Tabella15[[#This Row],[Citazioni distinte]]</calculatedColumnFormula>
    </tableColumn>
    <tableColumn id="85" xr3:uid="{00000000-0010-0000-0000-000055000000}" name="Quality Score" totalsRowFunction="sum" dataDxfId="50" totalsRowDxfId="14">
      <calculatedColumnFormula>(Tabella15[[#This Row],[ALL5]]+Tabella15[[#This Row],[ALL6]]+Tabella15[[#This Row],[ALL22]]+Tabella15[[#This Row],[ALL32]]+Tabella15[[#This Row],[ALL7]]+Tabella15[[#This Row],[ALL8]])*Tabella15[[#This Row],[PUNTO]]</calculatedColumnFormula>
    </tableColumn>
    <tableColumn id="28" xr3:uid="{00000000-0010-0000-0000-00001C000000}" name="CLAUDE" dataDxfId="49" totalsRowDxfId="13"/>
    <tableColumn id="33" xr3:uid="{00000000-0010-0000-0000-000021000000}" name="Pag.Num" dataDxfId="48" totalsRowDxfId="12"/>
    <tableColumn id="27" xr3:uid="{00000000-0010-0000-0000-00001B000000}" name="DESIGN" dataDxfId="47" totalsRowDxfId="11"/>
    <tableColumn id="26" xr3:uid="{00000000-0010-0000-0000-00001A000000}" name="VALIDITY" dataDxfId="46" totalsRowDxfId="10"/>
    <tableColumn id="29" xr3:uid="{00000000-0010-0000-0000-00001D000000}" name="REPLICABILITY" dataDxfId="45" totalsRowDxfId="9"/>
    <tableColumn id="30" xr3:uid="{00000000-0010-0000-0000-00001E000000}" name="THREATS" dataDxfId="44" totalsRowDxfId="8"/>
    <tableColumn id="31" xr3:uid="{00000000-0010-0000-0000-00001F000000}" name="MATURITY" dataDxfId="43" totalsRowDxfId="7"/>
    <tableColumn id="32" xr3:uid="{00000000-0010-0000-0000-000020000000}" name="POC" dataDxfId="42" totalsRowDxfId="6"/>
    <tableColumn id="8" xr3:uid="{00000000-0010-0000-0000-000008000000}" name="authors"/>
    <tableColumn id="9" xr3:uid="{00000000-0010-0000-0000-000009000000}" name="year"/>
    <tableColumn id="10" xr3:uid="{00000000-0010-0000-0000-00000A000000}" name="doi"/>
    <tableColumn id="11" xr3:uid="{00000000-0010-0000-0000-00000B000000}" name="URL" totalsRowLabel="https://www.scopus.com/pages/publications/105015069810?origin=resultslist" dataDxfId="41"/>
    <tableColumn id="12" xr3:uid="{00000000-0010-0000-0000-00000C000000}" name="abstract"/>
    <tableColumn id="13" xr3:uid="{00000000-0010-0000-0000-00000D000000}" name="keywords"/>
    <tableColumn id="14" xr3:uid="{00000000-0010-0000-0000-00000E000000}" name="journal"/>
    <tableColumn id="15" xr3:uid="{00000000-0010-0000-0000-00000F000000}" name="booktitle"/>
    <tableColumn id="16" xr3:uid="{00000000-0010-0000-0000-000010000000}" name="publisher"/>
    <tableColumn id="36" xr3:uid="{E72B745C-7818-40C7-B766-CB6330172646}" name="thematic_area" dataDxfId="32"/>
    <tableColumn id="5" xr3:uid="{BB1D409B-0D78-45F7-B12E-521463E74569}" name="iot_context" dataDxfId="33"/>
    <tableColumn id="4" xr3:uid="{FE2B86F7-B9D9-4C89-8170-3491FF7C013B}" name="devops_practices" dataDxfId="34"/>
    <tableColumn id="2" xr3:uid="{02A96145-025B-45CD-9C37-0DE357F08C8C}" name="tools_frameworks" dataDxfId="35"/>
    <tableColumn id="22" xr3:uid="{00000000-0010-0000-0000-000016000000}" name="screening_reason"/>
    <tableColumn id="37" xr3:uid="{00000000-0010-0000-0000-000025000000}" name="SCOPUS" dataDxfId="40" totalsRowDxfId="5"/>
    <tableColumn id="38" xr3:uid="{00000000-0010-0000-0000-000026000000}" name="IEEE" dataDxfId="39" totalsRowDxfId="4"/>
    <tableColumn id="39" xr3:uid="{00000000-0010-0000-0000-000027000000}" name="WOS" dataDxfId="38" totalsRowDxfId="3"/>
    <tableColumn id="40" xr3:uid="{00000000-0010-0000-0000-000028000000}" name="ACM" dataDxfId="37" totalsRowDxfId="2"/>
    <tableColumn id="51" xr3:uid="{00000000-0010-0000-0000-000033000000}" name="DISTINTI" dataDxfId="36" totalsRow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ieeexplore.ieee.org/stamp/stamp.jsp?arnumber=10442490" TargetMode="External"/><Relationship Id="rId21" Type="http://schemas.openxmlformats.org/officeDocument/2006/relationships/hyperlink" Target="https://ieeexplore.ieee.org/stamp/stamp.jsp?arnumber=9340196" TargetMode="External"/><Relationship Id="rId42" Type="http://schemas.openxmlformats.org/officeDocument/2006/relationships/hyperlink" Target="https://www.scopus.com/pages/publications/105015788031?origin=resultslist" TargetMode="External"/><Relationship Id="rId47" Type="http://schemas.openxmlformats.org/officeDocument/2006/relationships/hyperlink" Target="https://ieeexplore.ieee.org/stamp/stamp.jsp?arnumber=10057699" TargetMode="External"/><Relationship Id="rId63" Type="http://schemas.openxmlformats.org/officeDocument/2006/relationships/hyperlink" Target="https://ieeexplore.ieee.org/stamp/stamp.jsp?arnumber=11467383" TargetMode="External"/><Relationship Id="rId68" Type="http://schemas.openxmlformats.org/officeDocument/2006/relationships/hyperlink" Target="https://ieeexplore.ieee.org/stamp/stamp.jsp?arnumber=9934988" TargetMode="External"/><Relationship Id="rId2" Type="http://schemas.openxmlformats.org/officeDocument/2006/relationships/hyperlink" Target="https://ieeexplore.ieee.org/stamp/stamp.jsp?arnumber=9043730" TargetMode="External"/><Relationship Id="rId16" Type="http://schemas.openxmlformats.org/officeDocument/2006/relationships/hyperlink" Target="https://www.scopus.com/pages/publications/85079097542?origin=resultslist" TargetMode="External"/><Relationship Id="rId29" Type="http://schemas.openxmlformats.org/officeDocument/2006/relationships/hyperlink" Target="https://ieeexplore.ieee.org/stamp/stamp.jsp?arnumber=7502480" TargetMode="External"/><Relationship Id="rId11" Type="http://schemas.openxmlformats.org/officeDocument/2006/relationships/hyperlink" Target="https://ieeexplore.ieee.org/stamp/stamp.jsp?arnumber=10150375" TargetMode="External"/><Relationship Id="rId24" Type="http://schemas.openxmlformats.org/officeDocument/2006/relationships/hyperlink" Target="https://ieeexplore.ieee.org/stamp/stamp.jsp?arnumber=9043692" TargetMode="External"/><Relationship Id="rId32" Type="http://schemas.openxmlformats.org/officeDocument/2006/relationships/hyperlink" Target="https://ieeexplore.ieee.org/stamp/stamp.jsp?arnumber=8090868" TargetMode="External"/><Relationship Id="rId37" Type="http://schemas.openxmlformats.org/officeDocument/2006/relationships/hyperlink" Target="https://ieeexplore.ieee.org/stamp/stamp.jsp?arnumber=8766805" TargetMode="External"/><Relationship Id="rId40" Type="http://schemas.openxmlformats.org/officeDocument/2006/relationships/hyperlink" Target="https://www.scopus.com/pages/publications/105020411096?origin=resultslist" TargetMode="External"/><Relationship Id="rId45" Type="http://schemas.openxmlformats.org/officeDocument/2006/relationships/hyperlink" Target="https://ieeexplore.ieee.org/stamp/stamp.jsp?arnumber=10601416" TargetMode="External"/><Relationship Id="rId53" Type="http://schemas.openxmlformats.org/officeDocument/2006/relationships/hyperlink" Target="https://ieeexplore.ieee.org/stamp/stamp.jsp?arnumber=10266227" TargetMode="External"/><Relationship Id="rId58" Type="http://schemas.openxmlformats.org/officeDocument/2006/relationships/hyperlink" Target="https://ieeexplore.ieee.org/stamp/stamp.jsp?arnumber=11230711" TargetMode="External"/><Relationship Id="rId66" Type="http://schemas.openxmlformats.org/officeDocument/2006/relationships/hyperlink" Target="https://ieeexplore.ieee.org/stamp/stamp.jsp?arnumber=11049157" TargetMode="External"/><Relationship Id="rId74" Type="http://schemas.openxmlformats.org/officeDocument/2006/relationships/hyperlink" Target="https://www.scopus.com/pages/publications/105015069810?origin=resultslist" TargetMode="External"/><Relationship Id="rId5" Type="http://schemas.openxmlformats.org/officeDocument/2006/relationships/hyperlink" Target="https://www.scopus.com/pages/publications/85137560749?origin=resultslist" TargetMode="External"/><Relationship Id="rId61" Type="http://schemas.openxmlformats.org/officeDocument/2006/relationships/hyperlink" Target="https://doi.org/10.1145/3365438.3410951" TargetMode="External"/><Relationship Id="rId19" Type="http://schemas.openxmlformats.org/officeDocument/2006/relationships/hyperlink" Target="https://www.scopus.com/pages/publications/85123043210?origin=resultslist" TargetMode="External"/><Relationship Id="rId14" Type="http://schemas.openxmlformats.org/officeDocument/2006/relationships/hyperlink" Target="https://ieeexplore.ieee.org/stamp/stamp.jsp?arnumber=9002327" TargetMode="External"/><Relationship Id="rId22" Type="http://schemas.openxmlformats.org/officeDocument/2006/relationships/hyperlink" Target="https://ieeexplore.ieee.org/stamp/stamp.jsp?arnumber=9142209" TargetMode="External"/><Relationship Id="rId27" Type="http://schemas.openxmlformats.org/officeDocument/2006/relationships/hyperlink" Target="https://ieeexplore.ieee.org/stamp/stamp.jsp?arnumber=7575883" TargetMode="External"/><Relationship Id="rId30" Type="http://schemas.openxmlformats.org/officeDocument/2006/relationships/hyperlink" Target="https://ieeexplore.ieee.org/stamp/stamp.jsp?arnumber=9314552" TargetMode="External"/><Relationship Id="rId35" Type="http://schemas.openxmlformats.org/officeDocument/2006/relationships/hyperlink" Target="https://ieeexplore.ieee.org/stamp/stamp.jsp?arnumber=10075814" TargetMode="External"/><Relationship Id="rId43" Type="http://schemas.openxmlformats.org/officeDocument/2006/relationships/hyperlink" Target="https://ieeexplore.ieee.org/stamp/stamp.jsp?arnumber=11430793" TargetMode="External"/><Relationship Id="rId48" Type="http://schemas.openxmlformats.org/officeDocument/2006/relationships/hyperlink" Target="https://ieeexplore.ieee.org/stamp/stamp.jsp?arnumber=10046366" TargetMode="External"/><Relationship Id="rId56" Type="http://schemas.openxmlformats.org/officeDocument/2006/relationships/hyperlink" Target="https://ieeexplore.ieee.org/stamp/stamp.jsp?arnumber=11182974" TargetMode="External"/><Relationship Id="rId64" Type="http://schemas.openxmlformats.org/officeDocument/2006/relationships/hyperlink" Target="https://ieeexplore.ieee.org/stamp/stamp.jsp?arnumber=10186388" TargetMode="External"/><Relationship Id="rId69" Type="http://schemas.openxmlformats.org/officeDocument/2006/relationships/hyperlink" Target="https://www.scopus.com/pages/publications/85079102926?origin=resultslist" TargetMode="External"/><Relationship Id="rId8" Type="http://schemas.openxmlformats.org/officeDocument/2006/relationships/hyperlink" Target="https://ieeexplore.ieee.org/stamp/stamp.jsp?arnumber=7471379" TargetMode="External"/><Relationship Id="rId51" Type="http://schemas.openxmlformats.org/officeDocument/2006/relationships/hyperlink" Target="https://ieeexplore.ieee.org/stamp/stamp.jsp?arnumber=11210416" TargetMode="External"/><Relationship Id="rId72" Type="http://schemas.openxmlformats.org/officeDocument/2006/relationships/hyperlink" Target="https://www.scopus.com/pages/publications/105047059433?origin=resultslist" TargetMode="External"/><Relationship Id="rId3" Type="http://schemas.openxmlformats.org/officeDocument/2006/relationships/hyperlink" Target="https://ieeexplore.ieee.org/stamp/stamp.jsp?arnumber=9590282" TargetMode="External"/><Relationship Id="rId12" Type="http://schemas.openxmlformats.org/officeDocument/2006/relationships/hyperlink" Target="https://ieeexplore.ieee.org/stamp/stamp.jsp?arnumber=9139723" TargetMode="External"/><Relationship Id="rId17" Type="http://schemas.openxmlformats.org/officeDocument/2006/relationships/hyperlink" Target="https://ieeexplore.ieee.org/stamp/stamp.jsp?arnumber=9315393" TargetMode="External"/><Relationship Id="rId25" Type="http://schemas.openxmlformats.org/officeDocument/2006/relationships/hyperlink" Target="https://ieeexplore.ieee.org/stamp/stamp.jsp?arnumber=10539440" TargetMode="External"/><Relationship Id="rId33" Type="http://schemas.openxmlformats.org/officeDocument/2006/relationships/hyperlink" Target="https://ieeexplore.ieee.org/stamp/stamp.jsp?arnumber=7098040" TargetMode="External"/><Relationship Id="rId38" Type="http://schemas.openxmlformats.org/officeDocument/2006/relationships/hyperlink" Target="https://ieeexplore.ieee.org/stamp/stamp.jsp?arnumber=7763428" TargetMode="External"/><Relationship Id="rId46" Type="http://schemas.openxmlformats.org/officeDocument/2006/relationships/hyperlink" Target="https://ieeexplore.ieee.org/stamp/stamp.jsp?arnumber=11556658" TargetMode="External"/><Relationship Id="rId59" Type="http://schemas.openxmlformats.org/officeDocument/2006/relationships/hyperlink" Target="https://ieeexplore.ieee.org/stamp/stamp.jsp?arnumber=10572158" TargetMode="External"/><Relationship Id="rId67" Type="http://schemas.openxmlformats.org/officeDocument/2006/relationships/hyperlink" Target="https://doi.org/10.1145/3361149.3361165" TargetMode="External"/><Relationship Id="rId20" Type="http://schemas.openxmlformats.org/officeDocument/2006/relationships/hyperlink" Target="https://ieeexplore.ieee.org/stamp/stamp.jsp?arnumber=10612585" TargetMode="External"/><Relationship Id="rId41" Type="http://schemas.openxmlformats.org/officeDocument/2006/relationships/hyperlink" Target="https://www.scopus.com/pages/publications/105021834159?origin=resultslist" TargetMode="External"/><Relationship Id="rId54" Type="http://schemas.openxmlformats.org/officeDocument/2006/relationships/hyperlink" Target="https://ieeexplore.ieee.org/stamp/stamp.jsp?arnumber=10942956" TargetMode="External"/><Relationship Id="rId62" Type="http://schemas.openxmlformats.org/officeDocument/2006/relationships/hyperlink" Target="https://ieeexplore.ieee.org/stamp/stamp.jsp?arnumber=11485021" TargetMode="External"/><Relationship Id="rId70" Type="http://schemas.openxmlformats.org/officeDocument/2006/relationships/hyperlink" Target="https://ieeexplore.ieee.org/stamp/stamp.jsp?arnumber=9842500" TargetMode="External"/><Relationship Id="rId75" Type="http://schemas.openxmlformats.org/officeDocument/2006/relationships/table" Target="../tables/table1.xml"/><Relationship Id="rId1" Type="http://schemas.openxmlformats.org/officeDocument/2006/relationships/hyperlink" Target="https://ieeexplore.ieee.org/stamp/stamp.jsp?arnumber=7763372" TargetMode="External"/><Relationship Id="rId6" Type="http://schemas.openxmlformats.org/officeDocument/2006/relationships/hyperlink" Target="https://www.scopus.com/inward/record.uri?eid=2-s2.0-85112098751&amp;doi=10.1007%2fs42979-021-00519-6&amp;partnerID=40&amp;md5=60d5efddb0f5874b6adfb2cd3527f1d1" TargetMode="External"/><Relationship Id="rId15" Type="http://schemas.openxmlformats.org/officeDocument/2006/relationships/hyperlink" Target="https://ieeexplore.ieee.org/stamp/stamp.jsp?arnumber=9464069" TargetMode="External"/><Relationship Id="rId23" Type="http://schemas.openxmlformats.org/officeDocument/2006/relationships/hyperlink" Target="https://ieeexplore.ieee.org/stamp/stamp.jsp?arnumber=9820108" TargetMode="External"/><Relationship Id="rId28" Type="http://schemas.openxmlformats.org/officeDocument/2006/relationships/hyperlink" Target="https://ieeexplore.ieee.org/stamp/stamp.jsp?arnumber=9151987" TargetMode="External"/><Relationship Id="rId36" Type="http://schemas.openxmlformats.org/officeDocument/2006/relationships/hyperlink" Target="https://ieeexplore.ieee.org/stamp/stamp.jsp?arnumber=10427717" TargetMode="External"/><Relationship Id="rId49" Type="http://schemas.openxmlformats.org/officeDocument/2006/relationships/hyperlink" Target="https://ieeexplore.ieee.org/stamp/stamp.jsp?arnumber=11198011" TargetMode="External"/><Relationship Id="rId57" Type="http://schemas.openxmlformats.org/officeDocument/2006/relationships/hyperlink" Target="https://ieeexplore.ieee.org/stamp/stamp.jsp?arnumber=11492840" TargetMode="External"/><Relationship Id="rId10" Type="http://schemas.openxmlformats.org/officeDocument/2006/relationships/hyperlink" Target="https://ieeexplore.ieee.org/stamp/stamp.jsp?arnumber=9006025" TargetMode="External"/><Relationship Id="rId31" Type="http://schemas.openxmlformats.org/officeDocument/2006/relationships/hyperlink" Target="https://ieeexplore.ieee.org/stamp/stamp.jsp?arnumber=10711004" TargetMode="External"/><Relationship Id="rId44" Type="http://schemas.openxmlformats.org/officeDocument/2006/relationships/hyperlink" Target="https://ieeexplore.ieee.org/stamp/stamp.jsp?arnumber=7427129" TargetMode="External"/><Relationship Id="rId52" Type="http://schemas.openxmlformats.org/officeDocument/2006/relationships/hyperlink" Target="https://ieeexplore.ieee.org/stamp/stamp.jsp?arnumber=10456864" TargetMode="External"/><Relationship Id="rId60" Type="http://schemas.openxmlformats.org/officeDocument/2006/relationships/hyperlink" Target="https://ieeexplore.ieee.org/stamp/stamp.jsp?arnumber=11166038" TargetMode="External"/><Relationship Id="rId65" Type="http://schemas.openxmlformats.org/officeDocument/2006/relationships/hyperlink" Target="https://ieeexplore.ieee.org/stamp/stamp.jsp?arnumber=9529712" TargetMode="External"/><Relationship Id="rId73" Type="http://schemas.openxmlformats.org/officeDocument/2006/relationships/hyperlink" Target="https://www.scopus.com/pages/publications/105032644084?origin=resultslist" TargetMode="External"/><Relationship Id="rId4" Type="http://schemas.openxmlformats.org/officeDocument/2006/relationships/hyperlink" Target="https://www.scopus.com/inward/record.uri?eid=2-s2.0-85215304769&amp;doi=10.1007%2f978-3-031-81900-1_12&amp;partnerID=40&amp;md5=4b37a7193b3c33a4e4a2bb98ebc80db5" TargetMode="External"/><Relationship Id="rId9" Type="http://schemas.openxmlformats.org/officeDocument/2006/relationships/hyperlink" Target="http://dx.doi.org/10.18502/kss.v3i10.3542" TargetMode="External"/><Relationship Id="rId13" Type="http://schemas.openxmlformats.org/officeDocument/2006/relationships/hyperlink" Target="https://ieeexplore.ieee.org/stamp/stamp.jsp?arnumber=8464838" TargetMode="External"/><Relationship Id="rId18" Type="http://schemas.openxmlformats.org/officeDocument/2006/relationships/hyperlink" Target="https://ieeexplore.ieee.org/stamp/stamp.jsp?arnumber=9314485" TargetMode="External"/><Relationship Id="rId39" Type="http://schemas.openxmlformats.org/officeDocument/2006/relationships/hyperlink" Target="https://www.scopus.com/pages/publications/105004070607?origin=resultslist" TargetMode="External"/><Relationship Id="rId34" Type="http://schemas.openxmlformats.org/officeDocument/2006/relationships/hyperlink" Target="https://ieeexplore.ieee.org/stamp/stamp.jsp?arnumber=10384629" TargetMode="External"/><Relationship Id="rId50" Type="http://schemas.openxmlformats.org/officeDocument/2006/relationships/hyperlink" Target="https://ieeexplore.ieee.org/stamp/stamp.jsp?arnumber=10590376" TargetMode="External"/><Relationship Id="rId55" Type="http://schemas.openxmlformats.org/officeDocument/2006/relationships/hyperlink" Target="https://ieeexplore.ieee.org/stamp/stamp.jsp?arnumber=10617458" TargetMode="External"/><Relationship Id="rId7" Type="http://schemas.openxmlformats.org/officeDocument/2006/relationships/hyperlink" Target="https://www.scopus.com/inward/record.uri?eid=2-s2.0-85195213536&amp;partnerID=40&amp;md5=afdfee12fd37739ecbc0e45015517607" TargetMode="External"/><Relationship Id="rId71" Type="http://schemas.openxmlformats.org/officeDocument/2006/relationships/hyperlink" Target="https://www.scopus.com/pages/publications/85179096237?origin=resultslis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BO149"/>
  <sheetViews>
    <sheetView tabSelected="1" zoomScale="120" zoomScaleNormal="120" workbookViewId="0">
      <selection activeCell="C1" sqref="C1"/>
    </sheetView>
  </sheetViews>
  <sheetFormatPr defaultRowHeight="14.4" x14ac:dyDescent="0.55000000000000004"/>
  <cols>
    <col min="1" max="1" width="6.578125" customWidth="1"/>
    <col min="2" max="2" width="14.62890625" customWidth="1"/>
    <col min="3" max="3" width="6.7890625" customWidth="1"/>
    <col min="4" max="4" width="20.5234375" customWidth="1"/>
    <col min="5" max="5" width="9.9453125" customWidth="1"/>
    <col min="6" max="6" width="6.9453125" customWidth="1"/>
    <col min="7" max="7" width="29.734375" customWidth="1"/>
    <col min="8" max="8" width="7.9453125" customWidth="1"/>
    <col min="9" max="9" width="8" style="1" customWidth="1"/>
    <col min="10" max="10" width="6" style="1" customWidth="1"/>
    <col min="11" max="12" width="1.47265625" customWidth="1"/>
    <col min="13" max="13" width="2.83984375" customWidth="1"/>
    <col min="14" max="15" width="4.578125" style="21" customWidth="1"/>
    <col min="16" max="16" width="5.89453125" style="1" customWidth="1"/>
    <col min="17" max="17" width="4.578125" style="21" customWidth="1"/>
    <col min="18" max="20" width="2.26171875" customWidth="1"/>
    <col min="21" max="22" width="4.578125" style="21" customWidth="1"/>
    <col min="23" max="25" width="2.62890625" customWidth="1"/>
    <col min="26" max="27" width="4.578125" style="21" customWidth="1"/>
    <col min="28" max="28" width="5.1015625" style="1" customWidth="1"/>
    <col min="29" max="29" width="4.578125" style="21" customWidth="1"/>
    <col min="30" max="30" width="4.734375" customWidth="1"/>
    <col min="31" max="32" width="8.26171875" customWidth="1"/>
    <col min="33" max="33" width="9.7890625" customWidth="1"/>
    <col min="34" max="34" width="8.26171875" customWidth="1"/>
    <col min="35" max="36" width="8.26171875" style="21" customWidth="1"/>
    <col min="37" max="37" width="8.26171875" style="1" customWidth="1"/>
    <col min="38" max="40" width="9.5234375" customWidth="1"/>
    <col min="41" max="41" width="12.05078125" style="6" customWidth="1"/>
    <col min="42" max="42" width="9.68359375" style="1" customWidth="1"/>
    <col min="43" max="45" width="15.89453125" style="1" customWidth="1"/>
    <col min="46" max="46" width="11.15625" style="1" customWidth="1"/>
    <col min="47" max="47" width="11.41796875" style="1" customWidth="1"/>
    <col min="48" max="48" width="9.41796875" style="1" customWidth="1"/>
    <col min="49" max="49" width="10.68359375" customWidth="1"/>
    <col min="51" max="51" width="15.1015625" customWidth="1"/>
    <col min="52" max="52" width="10.5234375" customWidth="1"/>
    <col min="53" max="53" width="21.83984375" customWidth="1"/>
    <col min="54" max="54" width="9.89453125" customWidth="1"/>
    <col min="56" max="56" width="9.47265625" customWidth="1"/>
    <col min="57" max="57" width="9.83984375" customWidth="1"/>
    <col min="58" max="58" width="27.89453125" customWidth="1"/>
    <col min="59" max="59" width="24.9453125" customWidth="1"/>
    <col min="60" max="60" width="15.47265625" customWidth="1"/>
    <col min="61" max="61" width="26.734375" customWidth="1"/>
    <col min="62" max="62" width="12.89453125" customWidth="1"/>
    <col min="63" max="63" width="9.3671875" style="6" customWidth="1"/>
    <col min="64" max="67" width="8.83984375" style="1" customWidth="1"/>
  </cols>
  <sheetData>
    <row r="1" spans="1:67" s="6" customFormat="1" ht="77.400000000000006" customHeight="1" x14ac:dyDescent="0.55000000000000004">
      <c r="A1" s="6" t="s">
        <v>4</v>
      </c>
      <c r="B1" s="6" t="s">
        <v>5</v>
      </c>
      <c r="C1" s="6" t="s">
        <v>6</v>
      </c>
      <c r="D1" s="6" t="s">
        <v>7</v>
      </c>
      <c r="E1" s="6" t="s">
        <v>8</v>
      </c>
      <c r="F1" s="6" t="s">
        <v>9</v>
      </c>
      <c r="G1" s="6" t="s">
        <v>10</v>
      </c>
      <c r="H1" s="46" t="s">
        <v>11</v>
      </c>
      <c r="I1" s="46" t="s">
        <v>12</v>
      </c>
      <c r="J1" s="52" t="s">
        <v>13</v>
      </c>
      <c r="K1" s="52" t="s">
        <v>14</v>
      </c>
      <c r="L1" s="52" t="s">
        <v>15</v>
      </c>
      <c r="M1" s="20" t="s">
        <v>16</v>
      </c>
      <c r="N1" s="20" t="s">
        <v>17</v>
      </c>
      <c r="O1" s="23" t="s">
        <v>18</v>
      </c>
      <c r="P1" s="20" t="s">
        <v>19</v>
      </c>
      <c r="Q1" s="53" t="s">
        <v>20</v>
      </c>
      <c r="R1" s="53" t="s">
        <v>21</v>
      </c>
      <c r="S1" s="53" t="s">
        <v>22</v>
      </c>
      <c r="T1" s="20" t="s">
        <v>23</v>
      </c>
      <c r="U1" s="20" t="s">
        <v>24</v>
      </c>
      <c r="V1" s="54" t="s">
        <v>25</v>
      </c>
      <c r="W1" s="54" t="s">
        <v>26</v>
      </c>
      <c r="X1" s="54" t="s">
        <v>27</v>
      </c>
      <c r="Y1" s="20" t="s">
        <v>28</v>
      </c>
      <c r="Z1" s="20" t="s">
        <v>29</v>
      </c>
      <c r="AA1" s="38" t="s">
        <v>30</v>
      </c>
      <c r="AB1" s="20" t="s">
        <v>31</v>
      </c>
      <c r="AC1" s="55" t="s">
        <v>2</v>
      </c>
      <c r="AD1" s="55" t="s">
        <v>32</v>
      </c>
      <c r="AE1" s="55" t="s">
        <v>33</v>
      </c>
      <c r="AF1" s="55" t="s">
        <v>34</v>
      </c>
      <c r="AG1" s="55" t="s">
        <v>35</v>
      </c>
      <c r="AH1" s="20" t="s">
        <v>36</v>
      </c>
      <c r="AI1" s="20" t="s">
        <v>37</v>
      </c>
      <c r="AJ1" s="39" t="s">
        <v>3</v>
      </c>
      <c r="AK1" s="13" t="s">
        <v>38</v>
      </c>
      <c r="AL1" s="13" t="s">
        <v>39</v>
      </c>
      <c r="AM1" s="13" t="s">
        <v>40</v>
      </c>
      <c r="AN1" s="6" t="s">
        <v>41</v>
      </c>
      <c r="AO1" s="6" t="s">
        <v>42</v>
      </c>
      <c r="AP1" s="6" t="s">
        <v>43</v>
      </c>
      <c r="AQ1" s="6" t="s">
        <v>44</v>
      </c>
      <c r="AR1" s="6" t="s">
        <v>45</v>
      </c>
      <c r="AS1" s="6" t="s">
        <v>46</v>
      </c>
      <c r="AT1" s="6" t="s">
        <v>47</v>
      </c>
      <c r="AU1" s="6" t="s">
        <v>48</v>
      </c>
      <c r="AV1" s="6" t="s">
        <v>49</v>
      </c>
      <c r="AW1" s="6" t="s">
        <v>50</v>
      </c>
      <c r="AX1" s="6" t="s">
        <v>51</v>
      </c>
      <c r="AY1" s="6" t="s">
        <v>52</v>
      </c>
      <c r="AZ1" s="6" t="s">
        <v>53</v>
      </c>
      <c r="BA1" s="6" t="s">
        <v>54</v>
      </c>
      <c r="BB1" s="6" t="s">
        <v>55</v>
      </c>
      <c r="BC1" s="6" t="s">
        <v>56</v>
      </c>
      <c r="BD1" s="6" t="s">
        <v>57</v>
      </c>
      <c r="BE1" s="56" t="s">
        <v>64</v>
      </c>
      <c r="BF1" s="56" t="s">
        <v>65</v>
      </c>
      <c r="BG1" s="56" t="s">
        <v>66</v>
      </c>
      <c r="BH1" s="56" t="s">
        <v>67</v>
      </c>
      <c r="BI1" s="6" t="s">
        <v>58</v>
      </c>
      <c r="BJ1" s="17" t="s">
        <v>59</v>
      </c>
      <c r="BK1" s="17" t="s">
        <v>60</v>
      </c>
      <c r="BL1" s="17" t="s">
        <v>61</v>
      </c>
      <c r="BM1" s="17" t="s">
        <v>62</v>
      </c>
      <c r="BN1" s="18" t="s">
        <v>63</v>
      </c>
    </row>
    <row r="2" spans="1:67" x14ac:dyDescent="0.55000000000000004">
      <c r="B2" t="s">
        <v>68</v>
      </c>
      <c r="C2" t="s">
        <v>69</v>
      </c>
      <c r="D2" t="s">
        <v>70</v>
      </c>
      <c r="E2" t="s">
        <v>71</v>
      </c>
      <c r="F2" s="4">
        <v>1</v>
      </c>
      <c r="G2" t="s">
        <v>72</v>
      </c>
      <c r="H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1.9800000000000002</v>
      </c>
      <c r="I2" s="1">
        <f>(Tabella15[[#This Row],[ALL5]]+Tabella15[[#This Row],[ALL6]]+Tabella15[[#This Row],[ALL22]]+Tabella15[[#This Row],[ALL32]]+Tabella15[[#This Row],[ALL7]]+Tabella15[[#This Row],[ALL8]])</f>
        <v>1</v>
      </c>
      <c r="K2" s="1"/>
      <c r="L2" s="1"/>
      <c r="M2" s="21">
        <f>Tabella15[[#This Row],[IOT SPECFIC]]+Tabella15[[#This Row],[MBSE]]+Tabella15[[#This Row],[NEW MODEL]]</f>
        <v>0</v>
      </c>
      <c r="N2" s="21">
        <f>IF(Tabella15[[#This Row],[ALL]]&gt;0,1,0)</f>
        <v>0</v>
      </c>
      <c r="O2" s="1">
        <v>3</v>
      </c>
      <c r="P2" s="21">
        <f>IF(Tabella15[[#This Row],[DEPLOYMENT]]&gt;0,1,0)</f>
        <v>1</v>
      </c>
      <c r="Q2" s="1"/>
      <c r="R2" s="1"/>
      <c r="S2" s="1"/>
      <c r="T2" s="21">
        <f>Tabella15[[#This Row],[issues]]+Tabella15[[#This Row],[High Level]]+Tabella15[[#This Row],[ORCHESTRATION]]</f>
        <v>0</v>
      </c>
      <c r="U2" s="21">
        <f>IF(Tabella15[[#This Row],[ALL2]]&gt;0,1,0)</f>
        <v>0</v>
      </c>
      <c r="V2" s="1"/>
      <c r="W2" s="1"/>
      <c r="X2" s="1"/>
      <c r="Y2" s="21">
        <f>Tabella15[[#This Row],[Logginh]]+Tabella15[[#This Row],[Monitoring]]+Tabella15[[#This Row],[Performance]]</f>
        <v>0</v>
      </c>
      <c r="Z2" s="21">
        <f>IF(Tabella15[[#This Row],[ALL3]]&gt;0,1,0)</f>
        <v>0</v>
      </c>
      <c r="AA2" s="1"/>
      <c r="AB2" s="21">
        <f>IF(Tabella15[[#This Row],[TESTING]]&gt;0,1,0)</f>
        <v>0</v>
      </c>
      <c r="AC2" s="1"/>
      <c r="AD2" s="1"/>
      <c r="AE2" s="1"/>
      <c r="AF2" s="1"/>
      <c r="AG2" s="1"/>
      <c r="AH2" s="21">
        <f>Tabella15[[#This Row],[PRIVACY]]+Tabella15[[#This Row],[MATURITY MODEL]]+Tabella15[[#This Row],[ADDITIONAL]]+Tabella15[[#This Row],[DEVSECOPS]]+Tabella15[[#This Row],[SECURITY]]</f>
        <v>0</v>
      </c>
      <c r="AI2" s="21">
        <f>IF(Tabella15[[#This Row],[ALL4]]&gt;0,1,0)</f>
        <v>0</v>
      </c>
      <c r="AJ2" s="1"/>
      <c r="AK2" s="1">
        <v>14</v>
      </c>
      <c r="AL2" s="1">
        <f>(Tabella15[[#This Row],[ALL5]]+Tabella15[[#This Row],[ALL6]]+Tabella15[[#This Row],[ALL22]]+Tabella15[[#This Row],[ALL32]]+Tabella15[[#This Row],[ALL7]]+Tabella15[[#This Row],[ALL8]])*Tabella15[[#This Row],[Citazioni distinte]]</f>
        <v>14</v>
      </c>
      <c r="AM2" s="1">
        <f>(Tabella15[[#This Row],[ALL5]]+Tabella15[[#This Row],[ALL6]]+Tabella15[[#This Row],[ALL22]]+Tabella15[[#This Row],[ALL32]]+Tabella15[[#This Row],[ALL7]]+Tabella15[[#This Row],[ALL8]])*Tabella15[[#This Row],[PUNTO]]</f>
        <v>1.9800000000000002</v>
      </c>
      <c r="AN2" s="6" t="s">
        <v>73</v>
      </c>
      <c r="AO2" s="1">
        <v>6</v>
      </c>
      <c r="AP2" s="5" t="s">
        <v>74</v>
      </c>
      <c r="AQ2" s="5" t="s">
        <v>74</v>
      </c>
      <c r="AR2" s="5" t="s">
        <v>75</v>
      </c>
      <c r="AS2" s="5" t="s">
        <v>75</v>
      </c>
      <c r="AT2" s="1" t="s">
        <v>76</v>
      </c>
      <c r="AU2" s="1" t="s">
        <v>77</v>
      </c>
      <c r="AV2" t="s">
        <v>78</v>
      </c>
      <c r="AW2">
        <v>2016</v>
      </c>
      <c r="AX2" t="s">
        <v>79</v>
      </c>
      <c r="AY2" s="2" t="s">
        <v>80</v>
      </c>
      <c r="AZ2" t="s">
        <v>81</v>
      </c>
      <c r="BA2" t="s">
        <v>82</v>
      </c>
      <c r="BC2" t="s">
        <v>83</v>
      </c>
      <c r="BD2" t="s">
        <v>60</v>
      </c>
      <c r="BE2" t="s">
        <v>85</v>
      </c>
      <c r="BF2" t="s">
        <v>86</v>
      </c>
      <c r="BG2" t="s">
        <v>87</v>
      </c>
      <c r="BH2" t="s">
        <v>88</v>
      </c>
      <c r="BI2" t="s">
        <v>84</v>
      </c>
      <c r="BJ2" s="6">
        <v>14</v>
      </c>
      <c r="BK2" s="6">
        <v>11</v>
      </c>
      <c r="BL2" s="6">
        <v>9</v>
      </c>
      <c r="BM2" s="6">
        <v>0</v>
      </c>
      <c r="BN2" s="6">
        <v>14</v>
      </c>
      <c r="BO2"/>
    </row>
    <row r="3" spans="1:67" x14ac:dyDescent="0.55000000000000004">
      <c r="B3" t="s">
        <v>68</v>
      </c>
      <c r="C3" t="s">
        <v>69</v>
      </c>
      <c r="D3" t="s">
        <v>89</v>
      </c>
      <c r="E3" t="s">
        <v>73</v>
      </c>
      <c r="F3" s="4">
        <v>2</v>
      </c>
      <c r="G3" t="s">
        <v>90</v>
      </c>
      <c r="H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3" s="1">
        <f>(Tabella15[[#This Row],[ALL5]]+Tabella15[[#This Row],[ALL6]]+Tabella15[[#This Row],[ALL22]]+Tabella15[[#This Row],[ALL32]]+Tabella15[[#This Row],[ALL7]]+Tabella15[[#This Row],[ALL8]])</f>
        <v>1</v>
      </c>
      <c r="K3" s="1"/>
      <c r="L3" s="1"/>
      <c r="M3" s="21">
        <f>Tabella15[[#This Row],[IOT SPECFIC]]+Tabella15[[#This Row],[MBSE]]+Tabella15[[#This Row],[NEW MODEL]]</f>
        <v>0</v>
      </c>
      <c r="N3" s="21">
        <f>IF(Tabella15[[#This Row],[ALL]]&gt;0,1,0)</f>
        <v>0</v>
      </c>
      <c r="O3" s="1">
        <v>2</v>
      </c>
      <c r="P3" s="21">
        <f>IF(Tabella15[[#This Row],[DEPLOYMENT]]&gt;0,1,0)</f>
        <v>1</v>
      </c>
      <c r="Q3" s="1"/>
      <c r="R3" s="1"/>
      <c r="S3" s="1"/>
      <c r="T3" s="21">
        <f>Tabella15[[#This Row],[issues]]+Tabella15[[#This Row],[High Level]]+Tabella15[[#This Row],[ORCHESTRATION]]</f>
        <v>0</v>
      </c>
      <c r="U3" s="21">
        <f>IF(Tabella15[[#This Row],[ALL2]]&gt;0,1,0)</f>
        <v>0</v>
      </c>
      <c r="V3" s="1"/>
      <c r="W3" s="1"/>
      <c r="X3" s="1"/>
      <c r="Y3" s="21">
        <f>Tabella15[[#This Row],[Logginh]]+Tabella15[[#This Row],[Monitoring]]+Tabella15[[#This Row],[Performance]]</f>
        <v>0</v>
      </c>
      <c r="Z3" s="21">
        <f>IF(Tabella15[[#This Row],[ALL3]]&gt;0,1,0)</f>
        <v>0</v>
      </c>
      <c r="AA3" s="1"/>
      <c r="AB3" s="21">
        <f>IF(Tabella15[[#This Row],[TESTING]]&gt;0,1,0)</f>
        <v>0</v>
      </c>
      <c r="AC3" s="1"/>
      <c r="AD3" s="1"/>
      <c r="AE3" s="1"/>
      <c r="AF3" s="1"/>
      <c r="AG3" s="1"/>
      <c r="AH3" s="21">
        <f>Tabella15[[#This Row],[PRIVACY]]+Tabella15[[#This Row],[MATURITY MODEL]]+Tabella15[[#This Row],[ADDITIONAL]]+Tabella15[[#This Row],[DEVSECOPS]]+Tabella15[[#This Row],[SECURITY]]</f>
        <v>0</v>
      </c>
      <c r="AI3" s="21">
        <f>IF(Tabella15[[#This Row],[ALL4]]&gt;0,1,0)</f>
        <v>0</v>
      </c>
      <c r="AJ3" s="1"/>
      <c r="AK3" s="1">
        <v>17</v>
      </c>
      <c r="AL3" s="1">
        <f>(Tabella15[[#This Row],[ALL5]]+Tabella15[[#This Row],[ALL6]]+Tabella15[[#This Row],[ALL22]]+Tabella15[[#This Row],[ALL32]]+Tabella15[[#This Row],[ALL7]]+Tabella15[[#This Row],[ALL8]])*Tabella15[[#This Row],[Citazioni distinte]]</f>
        <v>17</v>
      </c>
      <c r="AM3" s="1">
        <f>(Tabella15[[#This Row],[ALL5]]+Tabella15[[#This Row],[ALL6]]+Tabella15[[#This Row],[ALL22]]+Tabella15[[#This Row],[ALL32]]+Tabella15[[#This Row],[ALL7]]+Tabella15[[#This Row],[ALL8]])*Tabella15[[#This Row],[PUNTO]]</f>
        <v>1.32</v>
      </c>
      <c r="AN3" s="6" t="s">
        <v>73</v>
      </c>
      <c r="AO3" s="1">
        <v>6</v>
      </c>
      <c r="AP3" s="1" t="s">
        <v>75</v>
      </c>
      <c r="AQ3" s="1" t="s">
        <v>75</v>
      </c>
      <c r="AR3" s="1" t="s">
        <v>75</v>
      </c>
      <c r="AS3" s="5" t="s">
        <v>75</v>
      </c>
      <c r="AT3" s="1" t="s">
        <v>76</v>
      </c>
      <c r="AU3" s="1" t="s">
        <v>77</v>
      </c>
      <c r="AV3" t="s">
        <v>91</v>
      </c>
      <c r="AW3">
        <v>2019</v>
      </c>
      <c r="AX3" t="s">
        <v>92</v>
      </c>
      <c r="AY3" s="2" t="s">
        <v>93</v>
      </c>
      <c r="AZ3" t="s">
        <v>94</v>
      </c>
      <c r="BA3" t="s">
        <v>95</v>
      </c>
      <c r="BC3" t="s">
        <v>96</v>
      </c>
      <c r="BD3" t="s">
        <v>60</v>
      </c>
      <c r="BE3" t="s">
        <v>85</v>
      </c>
      <c r="BF3" t="s">
        <v>98</v>
      </c>
      <c r="BG3" t="s">
        <v>99</v>
      </c>
      <c r="BH3" t="s">
        <v>88</v>
      </c>
      <c r="BI3" t="s">
        <v>97</v>
      </c>
      <c r="BJ3" s="6">
        <v>17</v>
      </c>
      <c r="BK3" s="6">
        <v>13</v>
      </c>
      <c r="BL3" s="6">
        <v>0</v>
      </c>
      <c r="BM3" s="6">
        <v>0</v>
      </c>
      <c r="BN3" s="6">
        <v>17</v>
      </c>
      <c r="BO3"/>
    </row>
    <row r="4" spans="1:67" x14ac:dyDescent="0.55000000000000004">
      <c r="B4" t="s">
        <v>68</v>
      </c>
      <c r="C4" t="s">
        <v>69</v>
      </c>
      <c r="D4" t="s">
        <v>100</v>
      </c>
      <c r="E4" t="s">
        <v>71</v>
      </c>
      <c r="F4" s="4">
        <v>3</v>
      </c>
      <c r="G4" t="s">
        <v>101</v>
      </c>
      <c r="H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2.3200000000000003</v>
      </c>
      <c r="I4" s="1">
        <f>(Tabella15[[#This Row],[ALL5]]+Tabella15[[#This Row],[ALL6]]+Tabella15[[#This Row],[ALL22]]+Tabella15[[#This Row],[ALL32]]+Tabella15[[#This Row],[ALL7]]+Tabella15[[#This Row],[ALL8]])</f>
        <v>2</v>
      </c>
      <c r="K4" s="1"/>
      <c r="L4" s="1">
        <v>3</v>
      </c>
      <c r="M4" s="21">
        <f>Tabella15[[#This Row],[IOT SPECFIC]]+Tabella15[[#This Row],[MBSE]]+Tabella15[[#This Row],[NEW MODEL]]</f>
        <v>3</v>
      </c>
      <c r="N4" s="21">
        <f>IF(Tabella15[[#This Row],[ALL]]&gt;0,1,0)</f>
        <v>1</v>
      </c>
      <c r="O4" s="1">
        <v>1</v>
      </c>
      <c r="P4" s="21">
        <f>IF(Tabella15[[#This Row],[DEPLOYMENT]]&gt;0,1,0)</f>
        <v>1</v>
      </c>
      <c r="Q4" s="1"/>
      <c r="R4" s="1"/>
      <c r="S4" s="1"/>
      <c r="T4" s="21">
        <f>Tabella15[[#This Row],[issues]]+Tabella15[[#This Row],[High Level]]+Tabella15[[#This Row],[ORCHESTRATION]]</f>
        <v>0</v>
      </c>
      <c r="U4" s="21">
        <f>IF(Tabella15[[#This Row],[ALL2]]&gt;0,1,0)</f>
        <v>0</v>
      </c>
      <c r="V4" s="1"/>
      <c r="W4" s="1"/>
      <c r="X4" s="1"/>
      <c r="Y4" s="21">
        <f>Tabella15[[#This Row],[Logginh]]+Tabella15[[#This Row],[Monitoring]]+Tabella15[[#This Row],[Performance]]</f>
        <v>0</v>
      </c>
      <c r="Z4" s="21">
        <f>IF(Tabella15[[#This Row],[ALL3]]&gt;0,1,0)</f>
        <v>0</v>
      </c>
      <c r="AA4" s="1"/>
      <c r="AB4" s="21">
        <f>IF(Tabella15[[#This Row],[TESTING]]&gt;0,1,0)</f>
        <v>0</v>
      </c>
      <c r="AC4" s="1"/>
      <c r="AD4" s="1"/>
      <c r="AE4" s="1"/>
      <c r="AF4" s="1"/>
      <c r="AG4" s="1"/>
      <c r="AH4" s="21">
        <f>Tabella15[[#This Row],[PRIVACY]]+Tabella15[[#This Row],[MATURITY MODEL]]+Tabella15[[#This Row],[ADDITIONAL]]+Tabella15[[#This Row],[DEVSECOPS]]+Tabella15[[#This Row],[SECURITY]]</f>
        <v>0</v>
      </c>
      <c r="AI4" s="21">
        <f>IF(Tabella15[[#This Row],[ALL4]]&gt;0,1,0)</f>
        <v>0</v>
      </c>
      <c r="AJ4" s="1"/>
      <c r="AK4" s="1">
        <v>2</v>
      </c>
      <c r="AL4" s="1">
        <f>(Tabella15[[#This Row],[ALL5]]+Tabella15[[#This Row],[ALL6]]+Tabella15[[#This Row],[ALL22]]+Tabella15[[#This Row],[ALL32]]+Tabella15[[#This Row],[ALL7]]+Tabella15[[#This Row],[ALL8]])*Tabella15[[#This Row],[Citazioni distinte]]</f>
        <v>4</v>
      </c>
      <c r="AM4" s="1">
        <f>(Tabella15[[#This Row],[ALL5]]+Tabella15[[#This Row],[ALL6]]+Tabella15[[#This Row],[ALL22]]+Tabella15[[#This Row],[ALL32]]+Tabella15[[#This Row],[ALL7]]+Tabella15[[#This Row],[ALL8]])*Tabella15[[#This Row],[PUNTO]]</f>
        <v>4.6400000000000006</v>
      </c>
      <c r="AN4" s="6" t="s">
        <v>71</v>
      </c>
      <c r="AO4" s="1">
        <v>6</v>
      </c>
      <c r="AP4" s="1" t="s">
        <v>102</v>
      </c>
      <c r="AQ4" s="1" t="s">
        <v>75</v>
      </c>
      <c r="AR4" s="1" t="s">
        <v>74</v>
      </c>
      <c r="AS4" s="5" t="s">
        <v>75</v>
      </c>
      <c r="AT4" s="1" t="s">
        <v>77</v>
      </c>
      <c r="AU4" s="1" t="s">
        <v>77</v>
      </c>
      <c r="AV4" t="s">
        <v>103</v>
      </c>
      <c r="AW4">
        <v>2021</v>
      </c>
      <c r="AX4" t="s">
        <v>104</v>
      </c>
      <c r="AY4" s="2" t="s">
        <v>105</v>
      </c>
      <c r="AZ4" t="s">
        <v>106</v>
      </c>
      <c r="BA4" t="s">
        <v>107</v>
      </c>
      <c r="BC4" t="s">
        <v>108</v>
      </c>
      <c r="BD4" t="s">
        <v>60</v>
      </c>
      <c r="BE4" t="s">
        <v>100</v>
      </c>
      <c r="BF4" t="s">
        <v>110</v>
      </c>
      <c r="BG4" t="s">
        <v>111</v>
      </c>
      <c r="BH4" t="s">
        <v>88</v>
      </c>
      <c r="BI4" t="s">
        <v>109</v>
      </c>
      <c r="BJ4" s="1">
        <v>2</v>
      </c>
      <c r="BK4" s="1">
        <v>2</v>
      </c>
      <c r="BL4" s="1">
        <v>2</v>
      </c>
      <c r="BM4" s="1">
        <v>0</v>
      </c>
      <c r="BN4" s="1">
        <v>2</v>
      </c>
      <c r="BO4"/>
    </row>
    <row r="5" spans="1:67" x14ac:dyDescent="0.55000000000000004">
      <c r="B5" t="s">
        <v>68</v>
      </c>
      <c r="C5" t="s">
        <v>69</v>
      </c>
      <c r="D5" t="s">
        <v>100</v>
      </c>
      <c r="E5" t="s">
        <v>102</v>
      </c>
      <c r="F5" s="4">
        <v>5</v>
      </c>
      <c r="G5" t="s">
        <v>112</v>
      </c>
      <c r="H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5" s="1">
        <f>(Tabella15[[#This Row],[ALL5]]+Tabella15[[#This Row],[ALL6]]+Tabella15[[#This Row],[ALL22]]+Tabella15[[#This Row],[ALL32]]+Tabella15[[#This Row],[ALL7]]+Tabella15[[#This Row],[ALL8]])</f>
        <v>2</v>
      </c>
      <c r="K5" s="1"/>
      <c r="L5" s="1">
        <v>2</v>
      </c>
      <c r="M5" s="21">
        <f>Tabella15[[#This Row],[IOT SPECFIC]]+Tabella15[[#This Row],[MBSE]]+Tabella15[[#This Row],[NEW MODEL]]</f>
        <v>2</v>
      </c>
      <c r="N5" s="21">
        <f>IF(Tabella15[[#This Row],[ALL]]&gt;0,1,0)</f>
        <v>1</v>
      </c>
      <c r="O5" s="1"/>
      <c r="P5" s="21">
        <f>IF(Tabella15[[#This Row],[DEPLOYMENT]]&gt;0,1,0)</f>
        <v>0</v>
      </c>
      <c r="Q5" s="1"/>
      <c r="R5" s="1"/>
      <c r="S5" s="1">
        <v>2</v>
      </c>
      <c r="T5" s="21">
        <f>Tabella15[[#This Row],[issues]]+Tabella15[[#This Row],[High Level]]+Tabella15[[#This Row],[ORCHESTRATION]]</f>
        <v>2</v>
      </c>
      <c r="U5" s="21">
        <f>IF(Tabella15[[#This Row],[ALL2]]&gt;0,1,0)</f>
        <v>1</v>
      </c>
      <c r="V5" s="1"/>
      <c r="W5" s="1"/>
      <c r="X5" s="1"/>
      <c r="Y5" s="21">
        <f>Tabella15[[#This Row],[Logginh]]+Tabella15[[#This Row],[Monitoring]]+Tabella15[[#This Row],[Performance]]</f>
        <v>0</v>
      </c>
      <c r="Z5" s="21">
        <f>IF(Tabella15[[#This Row],[ALL3]]&gt;0,1,0)</f>
        <v>0</v>
      </c>
      <c r="AA5" s="1"/>
      <c r="AB5" s="21">
        <f>IF(Tabella15[[#This Row],[TESTING]]&gt;0,1,0)</f>
        <v>0</v>
      </c>
      <c r="AC5" s="1"/>
      <c r="AD5" s="1"/>
      <c r="AE5" s="1"/>
      <c r="AF5" s="1"/>
      <c r="AG5" s="1"/>
      <c r="AH5" s="21">
        <f>Tabella15[[#This Row],[PRIVACY]]+Tabella15[[#This Row],[MATURITY MODEL]]+Tabella15[[#This Row],[ADDITIONAL]]+Tabella15[[#This Row],[DEVSECOPS]]+Tabella15[[#This Row],[SECURITY]]</f>
        <v>0</v>
      </c>
      <c r="AI5" s="21">
        <f>IF(Tabella15[[#This Row],[ALL4]]&gt;0,1,0)</f>
        <v>0</v>
      </c>
      <c r="AJ5" s="1"/>
      <c r="AK5" s="1">
        <v>4</v>
      </c>
      <c r="AL5" s="1">
        <f>(Tabella15[[#This Row],[ALL5]]+Tabella15[[#This Row],[ALL6]]+Tabella15[[#This Row],[ALL22]]+Tabella15[[#This Row],[ALL32]]+Tabella15[[#This Row],[ALL7]]+Tabella15[[#This Row],[ALL8]])*Tabella15[[#This Row],[Citazioni distinte]]</f>
        <v>8</v>
      </c>
      <c r="AM5" s="1">
        <f>(Tabella15[[#This Row],[ALL5]]+Tabella15[[#This Row],[ALL6]]+Tabella15[[#This Row],[ALL22]]+Tabella15[[#This Row],[ALL32]]+Tabella15[[#This Row],[ALL7]]+Tabella15[[#This Row],[ALL8]])*Tabella15[[#This Row],[PUNTO]]</f>
        <v>5.98</v>
      </c>
      <c r="AN5" s="6" t="s">
        <v>102</v>
      </c>
      <c r="AO5" s="1">
        <v>18</v>
      </c>
      <c r="AP5" s="5" t="s">
        <v>102</v>
      </c>
      <c r="AQ5" s="5" t="s">
        <v>102</v>
      </c>
      <c r="AR5" s="5" t="s">
        <v>74</v>
      </c>
      <c r="AS5" s="5" t="s">
        <v>75</v>
      </c>
      <c r="AT5" s="1" t="s">
        <v>76</v>
      </c>
      <c r="AU5" s="1" t="s">
        <v>76</v>
      </c>
      <c r="AV5" t="s">
        <v>113</v>
      </c>
      <c r="AW5">
        <v>2025</v>
      </c>
      <c r="AX5" t="s">
        <v>114</v>
      </c>
      <c r="AY5" s="2" t="s">
        <v>115</v>
      </c>
      <c r="AZ5" t="s">
        <v>116</v>
      </c>
      <c r="BB5" t="s">
        <v>117</v>
      </c>
      <c r="BE5" t="s">
        <v>100</v>
      </c>
      <c r="BF5" t="s">
        <v>119</v>
      </c>
      <c r="BG5" t="s">
        <v>120</v>
      </c>
      <c r="BH5" t="s">
        <v>121</v>
      </c>
      <c r="BI5" t="s">
        <v>118</v>
      </c>
      <c r="BJ5" s="1">
        <v>4</v>
      </c>
      <c r="BK5" s="1">
        <v>0</v>
      </c>
      <c r="BL5" s="1">
        <v>3</v>
      </c>
      <c r="BM5" s="1">
        <v>0</v>
      </c>
      <c r="BN5" s="1">
        <v>4</v>
      </c>
      <c r="BO5"/>
    </row>
    <row r="6" spans="1:67" x14ac:dyDescent="0.55000000000000004">
      <c r="B6" t="s">
        <v>122</v>
      </c>
      <c r="C6" t="s">
        <v>123</v>
      </c>
      <c r="D6" t="s">
        <v>70</v>
      </c>
      <c r="E6" t="s">
        <v>71</v>
      </c>
      <c r="F6" s="4">
        <v>6</v>
      </c>
      <c r="G6" t="s">
        <v>124</v>
      </c>
      <c r="H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6" s="1">
        <f>(Tabella15[[#This Row],[ALL5]]+Tabella15[[#This Row],[ALL6]]+Tabella15[[#This Row],[ALL22]]+Tabella15[[#This Row],[ALL32]]+Tabella15[[#This Row],[ALL7]]+Tabella15[[#This Row],[ALL8]])</f>
        <v>2</v>
      </c>
      <c r="K6" s="1"/>
      <c r="L6" s="1">
        <v>3</v>
      </c>
      <c r="M6" s="21">
        <f>Tabella15[[#This Row],[IOT SPECFIC]]+Tabella15[[#This Row],[MBSE]]+Tabella15[[#This Row],[NEW MODEL]]</f>
        <v>3</v>
      </c>
      <c r="N6" s="21">
        <f>IF(Tabella15[[#This Row],[ALL]]&gt;0,1,0)</f>
        <v>1</v>
      </c>
      <c r="O6" s="1">
        <v>1</v>
      </c>
      <c r="P6" s="21">
        <f>IF(Tabella15[[#This Row],[DEPLOYMENT]]&gt;0,1,0)</f>
        <v>1</v>
      </c>
      <c r="Q6" s="1"/>
      <c r="R6" s="1"/>
      <c r="S6" s="1"/>
      <c r="T6" s="21">
        <f>Tabella15[[#This Row],[issues]]+Tabella15[[#This Row],[High Level]]+Tabella15[[#This Row],[ORCHESTRATION]]</f>
        <v>0</v>
      </c>
      <c r="U6" s="21">
        <f>IF(Tabella15[[#This Row],[ALL2]]&gt;0,1,0)</f>
        <v>0</v>
      </c>
      <c r="V6" s="1"/>
      <c r="W6" s="1"/>
      <c r="X6" s="1"/>
      <c r="Y6" s="21">
        <f>Tabella15[[#This Row],[Logginh]]+Tabella15[[#This Row],[Monitoring]]+Tabella15[[#This Row],[Performance]]</f>
        <v>0</v>
      </c>
      <c r="Z6" s="21">
        <f>IF(Tabella15[[#This Row],[ALL3]]&gt;0,1,0)</f>
        <v>0</v>
      </c>
      <c r="AA6" s="1"/>
      <c r="AB6" s="21">
        <f>IF(Tabella15[[#This Row],[TESTING]]&gt;0,1,0)</f>
        <v>0</v>
      </c>
      <c r="AC6" s="1"/>
      <c r="AD6" s="1"/>
      <c r="AE6" s="1"/>
      <c r="AF6" s="1"/>
      <c r="AG6" s="1"/>
      <c r="AH6" s="21">
        <f>Tabella15[[#This Row],[PRIVACY]]+Tabella15[[#This Row],[MATURITY MODEL]]+Tabella15[[#This Row],[ADDITIONAL]]+Tabella15[[#This Row],[DEVSECOPS]]+Tabella15[[#This Row],[SECURITY]]</f>
        <v>0</v>
      </c>
      <c r="AI6" s="21">
        <f>IF(Tabella15[[#This Row],[ALL4]]&gt;0,1,0)</f>
        <v>0</v>
      </c>
      <c r="AJ6" s="1"/>
      <c r="AK6" s="1">
        <v>5</v>
      </c>
      <c r="AL6" s="1">
        <f>(Tabella15[[#This Row],[ALL5]]+Tabella15[[#This Row],[ALL6]]+Tabella15[[#This Row],[ALL22]]+Tabella15[[#This Row],[ALL32]]+Tabella15[[#This Row],[ALL7]]+Tabella15[[#This Row],[ALL8]])*Tabella15[[#This Row],[Citazioni distinte]]</f>
        <v>10</v>
      </c>
      <c r="AM6" s="1">
        <f>(Tabella15[[#This Row],[ALL5]]+Tabella15[[#This Row],[ALL6]]+Tabella15[[#This Row],[ALL22]]+Tabella15[[#This Row],[ALL32]]+Tabella15[[#This Row],[ALL7]]+Tabella15[[#This Row],[ALL8]])*Tabella15[[#This Row],[PUNTO]]</f>
        <v>6.66</v>
      </c>
      <c r="AN6" s="6" t="s">
        <v>73</v>
      </c>
      <c r="AO6" s="1">
        <v>29</v>
      </c>
      <c r="AP6" s="1" t="s">
        <v>102</v>
      </c>
      <c r="AQ6" s="1" t="s">
        <v>102</v>
      </c>
      <c r="AR6" s="1" t="s">
        <v>102</v>
      </c>
      <c r="AS6" s="5" t="s">
        <v>75</v>
      </c>
      <c r="AT6" s="1" t="s">
        <v>77</v>
      </c>
      <c r="AU6" s="1" t="s">
        <v>77</v>
      </c>
      <c r="AV6" t="s">
        <v>125</v>
      </c>
      <c r="AW6">
        <v>2022</v>
      </c>
      <c r="AX6" t="s">
        <v>126</v>
      </c>
      <c r="AY6" s="2" t="s">
        <v>127</v>
      </c>
      <c r="AZ6" t="s">
        <v>128</v>
      </c>
      <c r="BB6" t="s">
        <v>129</v>
      </c>
      <c r="BE6" t="s">
        <v>131</v>
      </c>
      <c r="BF6" t="s">
        <v>132</v>
      </c>
      <c r="BG6" t="s">
        <v>133</v>
      </c>
      <c r="BH6" t="s">
        <v>134</v>
      </c>
      <c r="BI6" t="s">
        <v>130</v>
      </c>
      <c r="BJ6" s="1">
        <v>5</v>
      </c>
      <c r="BK6" s="1">
        <v>0</v>
      </c>
      <c r="BL6" s="1">
        <v>1</v>
      </c>
      <c r="BM6" s="1">
        <v>0</v>
      </c>
      <c r="BN6" s="1">
        <v>5</v>
      </c>
      <c r="BO6"/>
    </row>
    <row r="7" spans="1:67" x14ac:dyDescent="0.55000000000000004">
      <c r="B7" t="s">
        <v>68</v>
      </c>
      <c r="C7" t="s">
        <v>69</v>
      </c>
      <c r="D7" t="s">
        <v>100</v>
      </c>
      <c r="E7" t="s">
        <v>102</v>
      </c>
      <c r="F7" s="4">
        <v>7</v>
      </c>
      <c r="G7" t="s">
        <v>135</v>
      </c>
      <c r="H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7" s="1">
        <f>(Tabella15[[#This Row],[ALL5]]+Tabella15[[#This Row],[ALL6]]+Tabella15[[#This Row],[ALL22]]+Tabella15[[#This Row],[ALL32]]+Tabella15[[#This Row],[ALL7]]+Tabella15[[#This Row],[ALL8]])</f>
        <v>1</v>
      </c>
      <c r="J7" s="1">
        <v>1</v>
      </c>
      <c r="K7" s="1"/>
      <c r="L7" s="1"/>
      <c r="M7" s="21">
        <f>Tabella15[[#This Row],[IOT SPECFIC]]+Tabella15[[#This Row],[MBSE]]+Tabella15[[#This Row],[NEW MODEL]]</f>
        <v>1</v>
      </c>
      <c r="N7" s="21">
        <f>IF(Tabella15[[#This Row],[ALL]]&gt;0,1,0)</f>
        <v>1</v>
      </c>
      <c r="O7" s="1"/>
      <c r="P7" s="21">
        <f>IF(Tabella15[[#This Row],[DEPLOYMENT]]&gt;0,1,0)</f>
        <v>0</v>
      </c>
      <c r="Q7" s="1"/>
      <c r="R7" s="1"/>
      <c r="S7" s="1"/>
      <c r="T7" s="21">
        <f>Tabella15[[#This Row],[issues]]+Tabella15[[#This Row],[High Level]]+Tabella15[[#This Row],[ORCHESTRATION]]</f>
        <v>0</v>
      </c>
      <c r="U7" s="21">
        <f>IF(Tabella15[[#This Row],[ALL2]]&gt;0,1,0)</f>
        <v>0</v>
      </c>
      <c r="V7" s="1"/>
      <c r="W7" s="1"/>
      <c r="X7" s="1"/>
      <c r="Y7" s="21">
        <f>Tabella15[[#This Row],[Logginh]]+Tabella15[[#This Row],[Monitoring]]+Tabella15[[#This Row],[Performance]]</f>
        <v>0</v>
      </c>
      <c r="Z7" s="21">
        <f>IF(Tabella15[[#This Row],[ALL3]]&gt;0,1,0)</f>
        <v>0</v>
      </c>
      <c r="AA7" s="1"/>
      <c r="AB7" s="21">
        <f>IF(Tabella15[[#This Row],[TESTING]]&gt;0,1,0)</f>
        <v>0</v>
      </c>
      <c r="AC7" s="1"/>
      <c r="AD7" s="1"/>
      <c r="AE7" s="1"/>
      <c r="AF7" s="1"/>
      <c r="AG7" s="1"/>
      <c r="AH7" s="21">
        <f>Tabella15[[#This Row],[PRIVACY]]+Tabella15[[#This Row],[MATURITY MODEL]]+Tabella15[[#This Row],[ADDITIONAL]]+Tabella15[[#This Row],[DEVSECOPS]]+Tabella15[[#This Row],[SECURITY]]</f>
        <v>0</v>
      </c>
      <c r="AI7" s="21">
        <f>IF(Tabella15[[#This Row],[ALL4]]&gt;0,1,0)</f>
        <v>0</v>
      </c>
      <c r="AJ7" s="1"/>
      <c r="AK7" s="1">
        <v>26</v>
      </c>
      <c r="AL7" s="1">
        <f>(Tabella15[[#This Row],[ALL5]]+Tabella15[[#This Row],[ALL6]]+Tabella15[[#This Row],[ALL22]]+Tabella15[[#This Row],[ALL32]]+Tabella15[[#This Row],[ALL7]]+Tabella15[[#This Row],[ALL8]])*Tabella15[[#This Row],[Citazioni distinte]]</f>
        <v>26</v>
      </c>
      <c r="AM7" s="1">
        <f>(Tabella15[[#This Row],[ALL5]]+Tabella15[[#This Row],[ALL6]]+Tabella15[[#This Row],[ALL22]]+Tabella15[[#This Row],[ALL32]]+Tabella15[[#This Row],[ALL7]]+Tabella15[[#This Row],[ALL8]])*Tabella15[[#This Row],[PUNTO]]</f>
        <v>3.33</v>
      </c>
      <c r="AN7" s="6" t="s">
        <v>102</v>
      </c>
      <c r="AO7" s="1">
        <v>35</v>
      </c>
      <c r="AP7" s="1" t="s">
        <v>102</v>
      </c>
      <c r="AQ7" s="1" t="s">
        <v>102</v>
      </c>
      <c r="AR7" s="1" t="s">
        <v>102</v>
      </c>
      <c r="AS7" s="5" t="s">
        <v>75</v>
      </c>
      <c r="AT7" s="1" t="s">
        <v>77</v>
      </c>
      <c r="AU7" s="1" t="s">
        <v>77</v>
      </c>
      <c r="AV7" t="s">
        <v>136</v>
      </c>
      <c r="AW7">
        <v>2021</v>
      </c>
      <c r="AX7" t="s">
        <v>137</v>
      </c>
      <c r="AY7" s="2" t="s">
        <v>138</v>
      </c>
      <c r="AZ7" t="s">
        <v>139</v>
      </c>
      <c r="BB7" t="s">
        <v>140</v>
      </c>
      <c r="BE7" t="s">
        <v>100</v>
      </c>
      <c r="BF7" t="s">
        <v>142</v>
      </c>
      <c r="BG7" t="s">
        <v>143</v>
      </c>
      <c r="BH7" t="s">
        <v>88</v>
      </c>
      <c r="BI7" t="s">
        <v>141</v>
      </c>
      <c r="BJ7" s="1">
        <v>14</v>
      </c>
      <c r="BK7" s="1">
        <v>14</v>
      </c>
      <c r="BL7" s="1">
        <v>0</v>
      </c>
      <c r="BM7" s="1">
        <v>0</v>
      </c>
      <c r="BN7" s="1">
        <v>26</v>
      </c>
      <c r="BO7"/>
    </row>
    <row r="8" spans="1:67" x14ac:dyDescent="0.55000000000000004">
      <c r="B8" t="s">
        <v>68</v>
      </c>
      <c r="C8" t="s">
        <v>69</v>
      </c>
      <c r="D8" t="s">
        <v>100</v>
      </c>
      <c r="E8" t="s">
        <v>73</v>
      </c>
      <c r="F8" s="4">
        <v>8</v>
      </c>
      <c r="G8" t="s">
        <v>144</v>
      </c>
      <c r="H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1.9900000000000002</v>
      </c>
      <c r="I8" s="1">
        <f>(Tabella15[[#This Row],[ALL5]]+Tabella15[[#This Row],[ALL6]]+Tabella15[[#This Row],[ALL22]]+Tabella15[[#This Row],[ALL32]]+Tabella15[[#This Row],[ALL7]]+Tabella15[[#This Row],[ALL8]])</f>
        <v>2</v>
      </c>
      <c r="K8" s="1"/>
      <c r="L8" s="1">
        <v>2</v>
      </c>
      <c r="M8" s="21">
        <f>Tabella15[[#This Row],[IOT SPECFIC]]+Tabella15[[#This Row],[MBSE]]+Tabella15[[#This Row],[NEW MODEL]]</f>
        <v>2</v>
      </c>
      <c r="N8" s="21">
        <f>IF(Tabella15[[#This Row],[ALL]]&gt;0,1,0)</f>
        <v>1</v>
      </c>
      <c r="O8" s="1"/>
      <c r="P8" s="21">
        <f>IF(Tabella15[[#This Row],[DEPLOYMENT]]&gt;0,1,0)</f>
        <v>0</v>
      </c>
      <c r="Q8" s="1"/>
      <c r="R8" s="1"/>
      <c r="S8" s="1">
        <v>2</v>
      </c>
      <c r="T8" s="21">
        <f>Tabella15[[#This Row],[issues]]+Tabella15[[#This Row],[High Level]]+Tabella15[[#This Row],[ORCHESTRATION]]</f>
        <v>2</v>
      </c>
      <c r="U8" s="21">
        <f>IF(Tabella15[[#This Row],[ALL2]]&gt;0,1,0)</f>
        <v>1</v>
      </c>
      <c r="V8" s="1"/>
      <c r="W8" s="1"/>
      <c r="X8" s="1"/>
      <c r="Y8" s="21">
        <f>Tabella15[[#This Row],[Logginh]]+Tabella15[[#This Row],[Monitoring]]+Tabella15[[#This Row],[Performance]]</f>
        <v>0</v>
      </c>
      <c r="Z8" s="21">
        <f>IF(Tabella15[[#This Row],[ALL3]]&gt;0,1,0)</f>
        <v>0</v>
      </c>
      <c r="AA8" s="1"/>
      <c r="AB8" s="21">
        <f>IF(Tabella15[[#This Row],[TESTING]]&gt;0,1,0)</f>
        <v>0</v>
      </c>
      <c r="AC8" s="1"/>
      <c r="AD8" s="1"/>
      <c r="AE8" s="1"/>
      <c r="AF8" s="1"/>
      <c r="AG8" s="1"/>
      <c r="AH8" s="21">
        <f>Tabella15[[#This Row],[PRIVACY]]+Tabella15[[#This Row],[MATURITY MODEL]]+Tabella15[[#This Row],[ADDITIONAL]]+Tabella15[[#This Row],[DEVSECOPS]]+Tabella15[[#This Row],[SECURITY]]</f>
        <v>0</v>
      </c>
      <c r="AI8" s="21">
        <f>IF(Tabella15[[#This Row],[ALL4]]&gt;0,1,0)</f>
        <v>0</v>
      </c>
      <c r="AJ8" s="1">
        <v>-1</v>
      </c>
      <c r="AK8" s="1">
        <v>3</v>
      </c>
      <c r="AL8" s="1">
        <f>(Tabella15[[#This Row],[ALL5]]+Tabella15[[#This Row],[ALL6]]+Tabella15[[#This Row],[ALL22]]+Tabella15[[#This Row],[ALL32]]+Tabella15[[#This Row],[ALL7]]+Tabella15[[#This Row],[ALL8]])*Tabella15[[#This Row],[Citazioni distinte]]</f>
        <v>6</v>
      </c>
      <c r="AM8" s="1">
        <f>(Tabella15[[#This Row],[ALL5]]+Tabella15[[#This Row],[ALL6]]+Tabella15[[#This Row],[ALL22]]+Tabella15[[#This Row],[ALL32]]+Tabella15[[#This Row],[ALL7]]+Tabella15[[#This Row],[ALL8]])*Tabella15[[#This Row],[PUNTO]]</f>
        <v>3.9800000000000004</v>
      </c>
      <c r="AN8" s="6" t="s">
        <v>73</v>
      </c>
      <c r="AO8" s="1">
        <v>7</v>
      </c>
      <c r="AP8" s="1" t="s">
        <v>102</v>
      </c>
      <c r="AQ8" s="1" t="s">
        <v>75</v>
      </c>
      <c r="AR8" s="1" t="s">
        <v>75</v>
      </c>
      <c r="AS8" s="5" t="s">
        <v>75</v>
      </c>
      <c r="AT8" s="1" t="s">
        <v>76</v>
      </c>
      <c r="AU8" s="1" t="s">
        <v>77</v>
      </c>
      <c r="AV8" t="s">
        <v>145</v>
      </c>
      <c r="AW8">
        <v>2024</v>
      </c>
      <c r="AY8" s="2" t="s">
        <v>146</v>
      </c>
      <c r="AZ8" t="s">
        <v>147</v>
      </c>
      <c r="BB8" t="s">
        <v>148</v>
      </c>
      <c r="BE8" t="s">
        <v>131</v>
      </c>
      <c r="BF8" t="s">
        <v>150</v>
      </c>
      <c r="BG8" t="s">
        <v>151</v>
      </c>
      <c r="BH8" t="s">
        <v>152</v>
      </c>
      <c r="BI8" t="s">
        <v>149</v>
      </c>
      <c r="BJ8" s="1">
        <v>3</v>
      </c>
      <c r="BK8" s="1">
        <v>0</v>
      </c>
      <c r="BL8" s="1">
        <v>0</v>
      </c>
      <c r="BM8" s="1">
        <v>0</v>
      </c>
      <c r="BN8" s="1">
        <v>3</v>
      </c>
      <c r="BO8"/>
    </row>
    <row r="9" spans="1:67" x14ac:dyDescent="0.55000000000000004">
      <c r="B9" t="s">
        <v>122</v>
      </c>
      <c r="C9" t="s">
        <v>123</v>
      </c>
      <c r="D9" t="s">
        <v>100</v>
      </c>
      <c r="E9" t="s">
        <v>71</v>
      </c>
      <c r="F9" s="4">
        <v>10</v>
      </c>
      <c r="G9" t="s">
        <v>153</v>
      </c>
      <c r="H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9" s="1">
        <f>(Tabella15[[#This Row],[ALL5]]+Tabella15[[#This Row],[ALL6]]+Tabella15[[#This Row],[ALL22]]+Tabella15[[#This Row],[ALL32]]+Tabella15[[#This Row],[ALL7]]+Tabella15[[#This Row],[ALL8]])</f>
        <v>2</v>
      </c>
      <c r="K9" s="1"/>
      <c r="L9" s="1">
        <v>3</v>
      </c>
      <c r="M9" s="21">
        <f>Tabella15[[#This Row],[IOT SPECFIC]]+Tabella15[[#This Row],[MBSE]]+Tabella15[[#This Row],[NEW MODEL]]</f>
        <v>3</v>
      </c>
      <c r="N9" s="21">
        <f>IF(Tabella15[[#This Row],[ALL]]&gt;0,1,0)</f>
        <v>1</v>
      </c>
      <c r="O9" s="1">
        <v>2</v>
      </c>
      <c r="P9" s="21">
        <f>IF(Tabella15[[#This Row],[DEPLOYMENT]]&gt;0,1,0)</f>
        <v>1</v>
      </c>
      <c r="Q9" s="1"/>
      <c r="R9" s="1"/>
      <c r="S9" s="1"/>
      <c r="T9" s="21">
        <f>Tabella15[[#This Row],[issues]]+Tabella15[[#This Row],[High Level]]+Tabella15[[#This Row],[ORCHESTRATION]]</f>
        <v>0</v>
      </c>
      <c r="U9" s="21">
        <f>IF(Tabella15[[#This Row],[ALL2]]&gt;0,1,0)</f>
        <v>0</v>
      </c>
      <c r="V9" s="1"/>
      <c r="W9" s="1"/>
      <c r="X9" s="1"/>
      <c r="Y9" s="21">
        <f>Tabella15[[#This Row],[Logginh]]+Tabella15[[#This Row],[Monitoring]]+Tabella15[[#This Row],[Performance]]</f>
        <v>0</v>
      </c>
      <c r="Z9" s="21">
        <f>IF(Tabella15[[#This Row],[ALL3]]&gt;0,1,0)</f>
        <v>0</v>
      </c>
      <c r="AA9" s="1"/>
      <c r="AB9" s="21">
        <f>IF(Tabella15[[#This Row],[TESTING]]&gt;0,1,0)</f>
        <v>0</v>
      </c>
      <c r="AC9" s="1"/>
      <c r="AD9" s="1"/>
      <c r="AE9" s="1"/>
      <c r="AF9" s="1"/>
      <c r="AG9" s="1"/>
      <c r="AH9" s="21">
        <f>Tabella15[[#This Row],[PRIVACY]]+Tabella15[[#This Row],[MATURITY MODEL]]+Tabella15[[#This Row],[ADDITIONAL]]+Tabella15[[#This Row],[DEVSECOPS]]+Tabella15[[#This Row],[SECURITY]]</f>
        <v>0</v>
      </c>
      <c r="AI9" s="21">
        <f>IF(Tabella15[[#This Row],[ALL4]]&gt;0,1,0)</f>
        <v>0</v>
      </c>
      <c r="AJ9" s="1"/>
      <c r="AK9" s="1">
        <v>1</v>
      </c>
      <c r="AL9" s="1">
        <f>(Tabella15[[#This Row],[ALL5]]+Tabella15[[#This Row],[ALL6]]+Tabella15[[#This Row],[ALL22]]+Tabella15[[#This Row],[ALL32]]+Tabella15[[#This Row],[ALL7]]+Tabella15[[#This Row],[ALL8]])*Tabella15[[#This Row],[Citazioni distinte]]</f>
        <v>2</v>
      </c>
      <c r="AM9" s="1">
        <f>(Tabella15[[#This Row],[ALL5]]+Tabella15[[#This Row],[ALL6]]+Tabella15[[#This Row],[ALL22]]+Tabella15[[#This Row],[ALL32]]+Tabella15[[#This Row],[ALL7]]+Tabella15[[#This Row],[ALL8]])*Tabella15[[#This Row],[PUNTO]]</f>
        <v>6.66</v>
      </c>
      <c r="AN9" s="6" t="s">
        <v>73</v>
      </c>
      <c r="AO9" s="1">
        <v>7</v>
      </c>
      <c r="AP9" s="1" t="s">
        <v>102</v>
      </c>
      <c r="AQ9" s="1" t="s">
        <v>102</v>
      </c>
      <c r="AR9" s="1" t="s">
        <v>102</v>
      </c>
      <c r="AS9" s="5" t="s">
        <v>75</v>
      </c>
      <c r="AT9" s="1" t="s">
        <v>77</v>
      </c>
      <c r="AU9" s="1" t="s">
        <v>77</v>
      </c>
      <c r="AV9" t="s">
        <v>154</v>
      </c>
      <c r="AW9">
        <v>2021</v>
      </c>
      <c r="AZ9" t="s">
        <v>155</v>
      </c>
      <c r="BB9" t="s">
        <v>156</v>
      </c>
      <c r="BE9" t="s">
        <v>100</v>
      </c>
      <c r="BF9" t="s">
        <v>158</v>
      </c>
      <c r="BG9" t="s">
        <v>159</v>
      </c>
      <c r="BH9" t="s">
        <v>160</v>
      </c>
      <c r="BI9" t="s">
        <v>157</v>
      </c>
      <c r="BJ9" s="1">
        <v>1</v>
      </c>
      <c r="BK9" s="1">
        <v>0</v>
      </c>
      <c r="BL9" s="1">
        <v>1</v>
      </c>
      <c r="BM9" s="1">
        <v>0</v>
      </c>
      <c r="BN9" s="1">
        <v>1</v>
      </c>
      <c r="BO9"/>
    </row>
    <row r="10" spans="1:67" x14ac:dyDescent="0.55000000000000004">
      <c r="B10" t="s">
        <v>68</v>
      </c>
      <c r="C10" t="s">
        <v>69</v>
      </c>
      <c r="D10" t="s">
        <v>100</v>
      </c>
      <c r="E10" t="s">
        <v>102</v>
      </c>
      <c r="F10" s="4">
        <v>11</v>
      </c>
      <c r="G10" t="s">
        <v>161</v>
      </c>
      <c r="H1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2.3200000000000003</v>
      </c>
      <c r="I10" s="1">
        <f>(Tabella15[[#This Row],[ALL5]]+Tabella15[[#This Row],[ALL6]]+Tabella15[[#This Row],[ALL22]]+Tabella15[[#This Row],[ALL32]]+Tabella15[[#This Row],[ALL7]]+Tabella15[[#This Row],[ALL8]])</f>
        <v>2</v>
      </c>
      <c r="K10" s="1"/>
      <c r="L10" s="1">
        <v>1</v>
      </c>
      <c r="M10" s="21">
        <f>Tabella15[[#This Row],[IOT SPECFIC]]+Tabella15[[#This Row],[MBSE]]+Tabella15[[#This Row],[NEW MODEL]]</f>
        <v>1</v>
      </c>
      <c r="N10" s="21">
        <f>IF(Tabella15[[#This Row],[ALL]]&gt;0,1,0)</f>
        <v>1</v>
      </c>
      <c r="O10" s="1"/>
      <c r="P10" s="21">
        <f>IF(Tabella15[[#This Row],[DEPLOYMENT]]&gt;0,1,0)</f>
        <v>0</v>
      </c>
      <c r="Q10" s="1"/>
      <c r="R10" s="1"/>
      <c r="S10" s="1"/>
      <c r="T10" s="21">
        <f>Tabella15[[#This Row],[issues]]+Tabella15[[#This Row],[High Level]]+Tabella15[[#This Row],[ORCHESTRATION]]</f>
        <v>0</v>
      </c>
      <c r="U10" s="21">
        <f>IF(Tabella15[[#This Row],[ALL2]]&gt;0,1,0)</f>
        <v>0</v>
      </c>
      <c r="V10" s="1"/>
      <c r="W10" s="1"/>
      <c r="X10" s="1"/>
      <c r="Y10" s="21">
        <f>Tabella15[[#This Row],[Logginh]]+Tabella15[[#This Row],[Monitoring]]+Tabella15[[#This Row],[Performance]]</f>
        <v>0</v>
      </c>
      <c r="Z10" s="21">
        <f>IF(Tabella15[[#This Row],[ALL3]]&gt;0,1,0)</f>
        <v>0</v>
      </c>
      <c r="AA10" s="1"/>
      <c r="AB10" s="21">
        <f>IF(Tabella15[[#This Row],[TESTING]]&gt;0,1,0)</f>
        <v>0</v>
      </c>
      <c r="AC10" s="1"/>
      <c r="AD10" s="1"/>
      <c r="AE10" s="1"/>
      <c r="AF10" s="1">
        <v>2</v>
      </c>
      <c r="AG10" s="1"/>
      <c r="AH10" s="21">
        <f>Tabella15[[#This Row],[PRIVACY]]+Tabella15[[#This Row],[MATURITY MODEL]]+Tabella15[[#This Row],[ADDITIONAL]]+Tabella15[[#This Row],[DEVSECOPS]]+Tabella15[[#This Row],[SECURITY]]</f>
        <v>2</v>
      </c>
      <c r="AI10" s="21">
        <f>IF(Tabella15[[#This Row],[ALL4]]&gt;0,1,0)</f>
        <v>1</v>
      </c>
      <c r="AJ10" s="1"/>
      <c r="AK10" s="1">
        <v>22</v>
      </c>
      <c r="AL10" s="1">
        <f>(Tabella15[[#This Row],[ALL5]]+Tabella15[[#This Row],[ALL6]]+Tabella15[[#This Row],[ALL22]]+Tabella15[[#This Row],[ALL32]]+Tabella15[[#This Row],[ALL7]]+Tabella15[[#This Row],[ALL8]])*Tabella15[[#This Row],[Citazioni distinte]]</f>
        <v>44</v>
      </c>
      <c r="AM10" s="1">
        <f>(Tabella15[[#This Row],[ALL5]]+Tabella15[[#This Row],[ALL6]]+Tabella15[[#This Row],[ALL22]]+Tabella15[[#This Row],[ALL32]]+Tabella15[[#This Row],[ALL7]]+Tabella15[[#This Row],[ALL8]])*Tabella15[[#This Row],[PUNTO]]</f>
        <v>4.6400000000000006</v>
      </c>
      <c r="AN10" s="6">
        <v>40</v>
      </c>
      <c r="AO10" s="1">
        <v>6</v>
      </c>
      <c r="AP10" s="1" t="s">
        <v>102</v>
      </c>
      <c r="AQ10" s="1" t="s">
        <v>75</v>
      </c>
      <c r="AR10" s="1" t="s">
        <v>74</v>
      </c>
      <c r="AS10" s="5" t="s">
        <v>75</v>
      </c>
      <c r="AT10" s="1" t="s">
        <v>76</v>
      </c>
      <c r="AU10" s="1" t="s">
        <v>77</v>
      </c>
      <c r="AV10" t="s">
        <v>162</v>
      </c>
      <c r="AW10">
        <v>2019</v>
      </c>
      <c r="AX10" t="s">
        <v>163</v>
      </c>
      <c r="BD10" t="s">
        <v>61</v>
      </c>
      <c r="BE10" t="s">
        <v>100</v>
      </c>
      <c r="BF10" t="s">
        <v>165</v>
      </c>
      <c r="BG10" t="s">
        <v>166</v>
      </c>
      <c r="BH10" t="s">
        <v>88</v>
      </c>
      <c r="BJ10" s="1">
        <v>10</v>
      </c>
      <c r="BK10" s="1">
        <v>0</v>
      </c>
      <c r="BL10" s="1">
        <v>5</v>
      </c>
      <c r="BM10" s="1">
        <v>16</v>
      </c>
      <c r="BN10" s="1">
        <v>22</v>
      </c>
      <c r="BO10"/>
    </row>
    <row r="11" spans="1:67" x14ac:dyDescent="0.55000000000000004">
      <c r="B11" t="s">
        <v>68</v>
      </c>
      <c r="C11" t="s">
        <v>69</v>
      </c>
      <c r="D11" t="s">
        <v>100</v>
      </c>
      <c r="E11" t="s">
        <v>71</v>
      </c>
      <c r="F11" s="4">
        <v>12</v>
      </c>
      <c r="G11" t="s">
        <v>167</v>
      </c>
      <c r="H1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1" s="1">
        <f>(Tabella15[[#This Row],[ALL5]]+Tabella15[[#This Row],[ALL6]]+Tabella15[[#This Row],[ALL22]]+Tabella15[[#This Row],[ALL32]]+Tabella15[[#This Row],[ALL7]]+Tabella15[[#This Row],[ALL8]])</f>
        <v>1</v>
      </c>
      <c r="K11" s="1"/>
      <c r="L11" s="1">
        <v>1</v>
      </c>
      <c r="M11" s="21">
        <f>Tabella15[[#This Row],[IOT SPECFIC]]+Tabella15[[#This Row],[MBSE]]+Tabella15[[#This Row],[NEW MODEL]]</f>
        <v>1</v>
      </c>
      <c r="N11" s="21">
        <f>IF(Tabella15[[#This Row],[ALL]]&gt;0,1,0)</f>
        <v>1</v>
      </c>
      <c r="O11" s="1"/>
      <c r="P11" s="21">
        <f>IF(Tabella15[[#This Row],[DEPLOYMENT]]&gt;0,1,0)</f>
        <v>0</v>
      </c>
      <c r="Q11" s="1"/>
      <c r="R11" s="1"/>
      <c r="S11" s="1"/>
      <c r="T11" s="21">
        <f>Tabella15[[#This Row],[issues]]+Tabella15[[#This Row],[High Level]]+Tabella15[[#This Row],[ORCHESTRATION]]</f>
        <v>0</v>
      </c>
      <c r="U11" s="21">
        <f>IF(Tabella15[[#This Row],[ALL2]]&gt;0,1,0)</f>
        <v>0</v>
      </c>
      <c r="V11" s="1"/>
      <c r="W11" s="1"/>
      <c r="X11" s="1"/>
      <c r="Y11" s="21">
        <f>Tabella15[[#This Row],[Logginh]]+Tabella15[[#This Row],[Monitoring]]+Tabella15[[#This Row],[Performance]]</f>
        <v>0</v>
      </c>
      <c r="Z11" s="21">
        <f>IF(Tabella15[[#This Row],[ALL3]]&gt;0,1,0)</f>
        <v>0</v>
      </c>
      <c r="AA11" s="1"/>
      <c r="AB11" s="21">
        <f>IF(Tabella15[[#This Row],[TESTING]]&gt;0,1,0)</f>
        <v>0</v>
      </c>
      <c r="AC11" s="1"/>
      <c r="AD11" s="1"/>
      <c r="AE11" s="1"/>
      <c r="AF11" s="1"/>
      <c r="AG11" s="1"/>
      <c r="AH11" s="21">
        <f>Tabella15[[#This Row],[PRIVACY]]+Tabella15[[#This Row],[MATURITY MODEL]]+Tabella15[[#This Row],[ADDITIONAL]]+Tabella15[[#This Row],[DEVSECOPS]]+Tabella15[[#This Row],[SECURITY]]</f>
        <v>0</v>
      </c>
      <c r="AI11" s="21">
        <f>IF(Tabella15[[#This Row],[ALL4]]&gt;0,1,0)</f>
        <v>0</v>
      </c>
      <c r="AJ11" s="1"/>
      <c r="AK11" s="1">
        <v>16</v>
      </c>
      <c r="AL11" s="1">
        <f>(Tabella15[[#This Row],[ALL5]]+Tabella15[[#This Row],[ALL6]]+Tabella15[[#This Row],[ALL22]]+Tabella15[[#This Row],[ALL32]]+Tabella15[[#This Row],[ALL7]]+Tabella15[[#This Row],[ALL8]])*Tabella15[[#This Row],[Citazioni distinte]]</f>
        <v>16</v>
      </c>
      <c r="AM11" s="1">
        <f>(Tabella15[[#This Row],[ALL5]]+Tabella15[[#This Row],[ALL6]]+Tabella15[[#This Row],[ALL22]]+Tabella15[[#This Row],[ALL32]]+Tabella15[[#This Row],[ALL7]]+Tabella15[[#This Row],[ALL8]])*Tabella15[[#This Row],[PUNTO]]</f>
        <v>1.32</v>
      </c>
      <c r="AN11" s="6" t="s">
        <v>73</v>
      </c>
      <c r="AO11" s="1">
        <v>4</v>
      </c>
      <c r="AP11" s="1" t="s">
        <v>75</v>
      </c>
      <c r="AQ11" s="1" t="s">
        <v>75</v>
      </c>
      <c r="AR11" s="1" t="s">
        <v>75</v>
      </c>
      <c r="AS11" s="5" t="s">
        <v>75</v>
      </c>
      <c r="AT11" s="1" t="s">
        <v>76</v>
      </c>
      <c r="AU11" s="1" t="s">
        <v>77</v>
      </c>
      <c r="AV11" t="s">
        <v>168</v>
      </c>
      <c r="AW11">
        <v>2016</v>
      </c>
      <c r="AX11" t="s">
        <v>169</v>
      </c>
      <c r="AY11" s="2" t="s">
        <v>170</v>
      </c>
      <c r="AZ11" t="s">
        <v>171</v>
      </c>
      <c r="BA11" t="s">
        <v>172</v>
      </c>
      <c r="BC11" t="s">
        <v>173</v>
      </c>
      <c r="BD11" t="s">
        <v>60</v>
      </c>
      <c r="BE11" t="s">
        <v>100</v>
      </c>
      <c r="BF11" t="s">
        <v>175</v>
      </c>
      <c r="BG11" t="s">
        <v>176</v>
      </c>
      <c r="BH11" t="s">
        <v>88</v>
      </c>
      <c r="BI11" t="s">
        <v>174</v>
      </c>
      <c r="BJ11" s="1">
        <v>15</v>
      </c>
      <c r="BK11" s="1">
        <v>12</v>
      </c>
      <c r="BL11" s="1">
        <v>9</v>
      </c>
      <c r="BM11" s="1">
        <v>0</v>
      </c>
      <c r="BN11" s="1">
        <v>16</v>
      </c>
      <c r="BO11"/>
    </row>
    <row r="12" spans="1:67" x14ac:dyDescent="0.55000000000000004">
      <c r="B12" t="s">
        <v>68</v>
      </c>
      <c r="C12" t="s">
        <v>69</v>
      </c>
      <c r="D12" t="s">
        <v>177</v>
      </c>
      <c r="E12" t="s">
        <v>71</v>
      </c>
      <c r="F12" s="4">
        <v>13</v>
      </c>
      <c r="G12" t="s">
        <v>178</v>
      </c>
      <c r="H1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2" s="1">
        <f>(Tabella15[[#This Row],[ALL5]]+Tabella15[[#This Row],[ALL6]]+Tabella15[[#This Row],[ALL22]]+Tabella15[[#This Row],[ALL32]]+Tabella15[[#This Row],[ALL7]]+Tabella15[[#This Row],[ALL8]])</f>
        <v>1</v>
      </c>
      <c r="K12" s="1"/>
      <c r="L12" s="1">
        <v>3</v>
      </c>
      <c r="M12" s="21">
        <f>Tabella15[[#This Row],[IOT SPECFIC]]+Tabella15[[#This Row],[MBSE]]+Tabella15[[#This Row],[NEW MODEL]]</f>
        <v>3</v>
      </c>
      <c r="N12" s="21">
        <f>IF(Tabella15[[#This Row],[ALL]]&gt;0,1,0)</f>
        <v>1</v>
      </c>
      <c r="O12" s="1"/>
      <c r="P12" s="21">
        <f>IF(Tabella15[[#This Row],[DEPLOYMENT]]&gt;0,1,0)</f>
        <v>0</v>
      </c>
      <c r="Q12" s="1"/>
      <c r="R12" s="1"/>
      <c r="S12" s="1"/>
      <c r="T12" s="21">
        <f>Tabella15[[#This Row],[issues]]+Tabella15[[#This Row],[High Level]]+Tabella15[[#This Row],[ORCHESTRATION]]</f>
        <v>0</v>
      </c>
      <c r="U12" s="21">
        <f>IF(Tabella15[[#This Row],[ALL2]]&gt;0,1,0)</f>
        <v>0</v>
      </c>
      <c r="V12" s="1"/>
      <c r="W12" s="1"/>
      <c r="X12" s="1"/>
      <c r="Y12" s="21">
        <f>Tabella15[[#This Row],[Logginh]]+Tabella15[[#This Row],[Monitoring]]+Tabella15[[#This Row],[Performance]]</f>
        <v>0</v>
      </c>
      <c r="Z12" s="21">
        <f>IF(Tabella15[[#This Row],[ALL3]]&gt;0,1,0)</f>
        <v>0</v>
      </c>
      <c r="AA12" s="1"/>
      <c r="AB12" s="21">
        <f>IF(Tabella15[[#This Row],[TESTING]]&gt;0,1,0)</f>
        <v>0</v>
      </c>
      <c r="AC12" s="1"/>
      <c r="AD12" s="1"/>
      <c r="AE12" s="1"/>
      <c r="AF12" s="1"/>
      <c r="AG12" s="1"/>
      <c r="AH12" s="21">
        <f>Tabella15[[#This Row],[PRIVACY]]+Tabella15[[#This Row],[MATURITY MODEL]]+Tabella15[[#This Row],[ADDITIONAL]]+Tabella15[[#This Row],[DEVSECOPS]]+Tabella15[[#This Row],[SECURITY]]</f>
        <v>0</v>
      </c>
      <c r="AI12" s="21">
        <f>IF(Tabella15[[#This Row],[ALL4]]&gt;0,1,0)</f>
        <v>0</v>
      </c>
      <c r="AJ12" s="1"/>
      <c r="AK12" s="1">
        <v>2</v>
      </c>
      <c r="AL12" s="1">
        <f>(Tabella15[[#This Row],[ALL5]]+Tabella15[[#This Row],[ALL6]]+Tabella15[[#This Row],[ALL22]]+Tabella15[[#This Row],[ALL32]]+Tabella15[[#This Row],[ALL7]]+Tabella15[[#This Row],[ALL8]])*Tabella15[[#This Row],[Citazioni distinte]]</f>
        <v>2</v>
      </c>
      <c r="AM12" s="1">
        <f>(Tabella15[[#This Row],[ALL5]]+Tabella15[[#This Row],[ALL6]]+Tabella15[[#This Row],[ALL22]]+Tabella15[[#This Row],[ALL32]]+Tabella15[[#This Row],[ALL7]]+Tabella15[[#This Row],[ALL8]])*Tabella15[[#This Row],[PUNTO]]</f>
        <v>1.32</v>
      </c>
      <c r="AN12" s="6" t="s">
        <v>102</v>
      </c>
      <c r="AO12" s="1">
        <v>15</v>
      </c>
      <c r="AP12" s="1" t="s">
        <v>75</v>
      </c>
      <c r="AQ12" s="1" t="s">
        <v>75</v>
      </c>
      <c r="AR12" s="1" t="s">
        <v>75</v>
      </c>
      <c r="AS12" s="5" t="s">
        <v>75</v>
      </c>
      <c r="AT12" s="1" t="s">
        <v>76</v>
      </c>
      <c r="AU12" s="1" t="s">
        <v>76</v>
      </c>
      <c r="AV12" t="s">
        <v>179</v>
      </c>
      <c r="AW12">
        <v>2018</v>
      </c>
      <c r="AX12" t="s">
        <v>180</v>
      </c>
      <c r="AY12" s="2" t="s">
        <v>181</v>
      </c>
      <c r="AZ12" t="s">
        <v>182</v>
      </c>
      <c r="BB12" t="s">
        <v>183</v>
      </c>
      <c r="BE12" t="s">
        <v>85</v>
      </c>
      <c r="BF12" t="s">
        <v>185</v>
      </c>
      <c r="BG12" t="s">
        <v>186</v>
      </c>
      <c r="BH12" t="s">
        <v>187</v>
      </c>
      <c r="BI12" t="s">
        <v>184</v>
      </c>
      <c r="BJ12" s="1">
        <v>0</v>
      </c>
      <c r="BK12" s="1">
        <v>0</v>
      </c>
      <c r="BL12" s="1">
        <v>2</v>
      </c>
      <c r="BM12" s="1">
        <v>0</v>
      </c>
      <c r="BN12" s="1">
        <v>2</v>
      </c>
      <c r="BO12"/>
    </row>
    <row r="13" spans="1:67" x14ac:dyDescent="0.55000000000000004">
      <c r="B13" t="s">
        <v>68</v>
      </c>
      <c r="C13" t="s">
        <v>69</v>
      </c>
      <c r="D13" t="s">
        <v>89</v>
      </c>
      <c r="E13" t="s">
        <v>73</v>
      </c>
      <c r="F13" s="4">
        <v>15</v>
      </c>
      <c r="G13" t="s">
        <v>188</v>
      </c>
      <c r="H1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13" s="1">
        <f>(Tabella15[[#This Row],[ALL5]]+Tabella15[[#This Row],[ALL6]]+Tabella15[[#This Row],[ALL22]]+Tabella15[[#This Row],[ALL32]]+Tabella15[[#This Row],[ALL7]]+Tabella15[[#This Row],[ALL8]])</f>
        <v>1</v>
      </c>
      <c r="K13" s="1"/>
      <c r="L13" s="1"/>
      <c r="M13" s="21">
        <f>Tabella15[[#This Row],[IOT SPECFIC]]+Tabella15[[#This Row],[MBSE]]+Tabella15[[#This Row],[NEW MODEL]]</f>
        <v>0</v>
      </c>
      <c r="N13" s="21">
        <f>IF(Tabella15[[#This Row],[ALL]]&gt;0,1,0)</f>
        <v>0</v>
      </c>
      <c r="O13" s="1"/>
      <c r="P13" s="21">
        <f>IF(Tabella15[[#This Row],[DEPLOYMENT]]&gt;0,1,0)</f>
        <v>0</v>
      </c>
      <c r="Q13" s="1"/>
      <c r="R13" s="1"/>
      <c r="S13" s="1"/>
      <c r="T13" s="21">
        <f>Tabella15[[#This Row],[issues]]+Tabella15[[#This Row],[High Level]]+Tabella15[[#This Row],[ORCHESTRATION]]</f>
        <v>0</v>
      </c>
      <c r="U13" s="21">
        <f>IF(Tabella15[[#This Row],[ALL2]]&gt;0,1,0)</f>
        <v>0</v>
      </c>
      <c r="V13" s="1"/>
      <c r="W13" s="1">
        <v>1</v>
      </c>
      <c r="X13" s="1"/>
      <c r="Y13" s="21">
        <f>Tabella15[[#This Row],[Logginh]]+Tabella15[[#This Row],[Monitoring]]+Tabella15[[#This Row],[Performance]]</f>
        <v>1</v>
      </c>
      <c r="Z13" s="21">
        <f>IF(Tabella15[[#This Row],[ALL3]]&gt;0,1,0)</f>
        <v>1</v>
      </c>
      <c r="AA13" s="1"/>
      <c r="AB13" s="21">
        <f>IF(Tabella15[[#This Row],[TESTING]]&gt;0,1,0)</f>
        <v>0</v>
      </c>
      <c r="AC13" s="1"/>
      <c r="AD13" s="1"/>
      <c r="AE13" s="1"/>
      <c r="AF13" s="1"/>
      <c r="AG13" s="1"/>
      <c r="AH13" s="21">
        <f>Tabella15[[#This Row],[PRIVACY]]+Tabella15[[#This Row],[MATURITY MODEL]]+Tabella15[[#This Row],[ADDITIONAL]]+Tabella15[[#This Row],[DEVSECOPS]]+Tabella15[[#This Row],[SECURITY]]</f>
        <v>0</v>
      </c>
      <c r="AI13" s="21">
        <f>IF(Tabella15[[#This Row],[ALL4]]&gt;0,1,0)</f>
        <v>0</v>
      </c>
      <c r="AJ13" s="1"/>
      <c r="AK13" s="1">
        <v>1</v>
      </c>
      <c r="AL13" s="1">
        <f>(Tabella15[[#This Row],[ALL5]]+Tabella15[[#This Row],[ALL6]]+Tabella15[[#This Row],[ALL22]]+Tabella15[[#This Row],[ALL32]]+Tabella15[[#This Row],[ALL7]]+Tabella15[[#This Row],[ALL8]])*Tabella15[[#This Row],[Citazioni distinte]]</f>
        <v>1</v>
      </c>
      <c r="AM13" s="1">
        <f>(Tabella15[[#This Row],[ALL5]]+Tabella15[[#This Row],[ALL6]]+Tabella15[[#This Row],[ALL22]]+Tabella15[[#This Row],[ALL32]]+Tabella15[[#This Row],[ALL7]]+Tabella15[[#This Row],[ALL8]])*Tabella15[[#This Row],[PUNTO]]</f>
        <v>2.99</v>
      </c>
      <c r="AN13" s="6">
        <v>27</v>
      </c>
      <c r="AO13" s="1">
        <v>16</v>
      </c>
      <c r="AP13" s="1" t="s">
        <v>102</v>
      </c>
      <c r="AQ13" s="1" t="s">
        <v>74</v>
      </c>
      <c r="AR13" s="1" t="s">
        <v>102</v>
      </c>
      <c r="AS13" s="1" t="s">
        <v>75</v>
      </c>
      <c r="AT13" s="1" t="s">
        <v>76</v>
      </c>
      <c r="AU13" s="1" t="s">
        <v>76</v>
      </c>
      <c r="AV13" t="s">
        <v>189</v>
      </c>
      <c r="AW13">
        <v>2024</v>
      </c>
      <c r="AX13" t="s">
        <v>190</v>
      </c>
      <c r="BD13" t="s">
        <v>61</v>
      </c>
      <c r="BE13" t="s">
        <v>85</v>
      </c>
      <c r="BF13" t="s">
        <v>88</v>
      </c>
      <c r="BG13" t="s">
        <v>191</v>
      </c>
      <c r="BH13" t="s">
        <v>88</v>
      </c>
      <c r="BJ13" s="1">
        <v>1</v>
      </c>
      <c r="BK13" s="1">
        <v>0</v>
      </c>
      <c r="BL13" s="1">
        <v>1</v>
      </c>
      <c r="BM13" s="1">
        <v>0</v>
      </c>
      <c r="BN13" s="1">
        <v>1</v>
      </c>
      <c r="BO13"/>
    </row>
    <row r="14" spans="1:67" x14ac:dyDescent="0.55000000000000004">
      <c r="B14" t="s">
        <v>68</v>
      </c>
      <c r="C14" t="s">
        <v>69</v>
      </c>
      <c r="D14" t="s">
        <v>100</v>
      </c>
      <c r="E14" t="s">
        <v>71</v>
      </c>
      <c r="F14" s="4">
        <v>16</v>
      </c>
      <c r="G14" t="s">
        <v>192</v>
      </c>
      <c r="H1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14" s="1">
        <f>(Tabella15[[#This Row],[ALL5]]+Tabella15[[#This Row],[ALL6]]+Tabella15[[#This Row],[ALL22]]+Tabella15[[#This Row],[ALL32]]+Tabella15[[#This Row],[ALL7]]+Tabella15[[#This Row],[ALL8]])</f>
        <v>2</v>
      </c>
      <c r="K14" s="1"/>
      <c r="L14" s="1">
        <v>2</v>
      </c>
      <c r="M14" s="21">
        <f>Tabella15[[#This Row],[IOT SPECFIC]]+Tabella15[[#This Row],[MBSE]]+Tabella15[[#This Row],[NEW MODEL]]</f>
        <v>2</v>
      </c>
      <c r="N14" s="21">
        <f>IF(Tabella15[[#This Row],[ALL]]&gt;0,1,0)</f>
        <v>1</v>
      </c>
      <c r="O14" s="1"/>
      <c r="P14" s="21">
        <f>IF(Tabella15[[#This Row],[DEPLOYMENT]]&gt;0,1,0)</f>
        <v>0</v>
      </c>
      <c r="Q14" s="1"/>
      <c r="R14" s="1"/>
      <c r="S14" s="1">
        <v>2</v>
      </c>
      <c r="T14" s="21">
        <f>Tabella15[[#This Row],[issues]]+Tabella15[[#This Row],[High Level]]+Tabella15[[#This Row],[ORCHESTRATION]]</f>
        <v>2</v>
      </c>
      <c r="U14" s="21">
        <f>IF(Tabella15[[#This Row],[ALL2]]&gt;0,1,0)</f>
        <v>1</v>
      </c>
      <c r="V14" s="1"/>
      <c r="W14" s="1"/>
      <c r="X14" s="1"/>
      <c r="Y14" s="21">
        <f>Tabella15[[#This Row],[Logginh]]+Tabella15[[#This Row],[Monitoring]]+Tabella15[[#This Row],[Performance]]</f>
        <v>0</v>
      </c>
      <c r="Z14" s="21">
        <f>IF(Tabella15[[#This Row],[ALL3]]&gt;0,1,0)</f>
        <v>0</v>
      </c>
      <c r="AA14" s="1"/>
      <c r="AB14" s="21">
        <f>IF(Tabella15[[#This Row],[TESTING]]&gt;0,1,0)</f>
        <v>0</v>
      </c>
      <c r="AC14" s="1"/>
      <c r="AD14" s="1"/>
      <c r="AE14" s="1"/>
      <c r="AF14" s="1"/>
      <c r="AG14" s="1"/>
      <c r="AH14" s="21">
        <f>Tabella15[[#This Row],[PRIVACY]]+Tabella15[[#This Row],[MATURITY MODEL]]+Tabella15[[#This Row],[ADDITIONAL]]+Tabella15[[#This Row],[DEVSECOPS]]+Tabella15[[#This Row],[SECURITY]]</f>
        <v>0</v>
      </c>
      <c r="AI14" s="21">
        <f>IF(Tabella15[[#This Row],[ALL4]]&gt;0,1,0)</f>
        <v>0</v>
      </c>
      <c r="AJ14" s="1"/>
      <c r="AK14" s="1">
        <v>1</v>
      </c>
      <c r="AL14" s="1">
        <f>(Tabella15[[#This Row],[ALL5]]+Tabella15[[#This Row],[ALL6]]+Tabella15[[#This Row],[ALL22]]+Tabella15[[#This Row],[ALL32]]+Tabella15[[#This Row],[ALL7]]+Tabella15[[#This Row],[ALL8]])*Tabella15[[#This Row],[Citazioni distinte]]</f>
        <v>2</v>
      </c>
      <c r="AM14" s="1">
        <f>(Tabella15[[#This Row],[ALL5]]+Tabella15[[#This Row],[ALL6]]+Tabella15[[#This Row],[ALL22]]+Tabella15[[#This Row],[ALL32]]+Tabella15[[#This Row],[ALL7]]+Tabella15[[#This Row],[ALL8]])*Tabella15[[#This Row],[PUNTO]]</f>
        <v>7.32</v>
      </c>
      <c r="AN14" s="6">
        <v>42</v>
      </c>
      <c r="AO14" s="1">
        <v>20</v>
      </c>
      <c r="AP14" s="1" t="s">
        <v>102</v>
      </c>
      <c r="AQ14" s="1" t="s">
        <v>102</v>
      </c>
      <c r="AR14" s="1" t="s">
        <v>102</v>
      </c>
      <c r="AS14" s="1" t="s">
        <v>74</v>
      </c>
      <c r="AT14" s="1" t="s">
        <v>77</v>
      </c>
      <c r="AU14" s="1" t="s">
        <v>77</v>
      </c>
      <c r="AV14" t="s">
        <v>193</v>
      </c>
      <c r="AW14">
        <v>2022</v>
      </c>
      <c r="BE14" t="s">
        <v>100</v>
      </c>
      <c r="BF14" t="s">
        <v>194</v>
      </c>
      <c r="BG14" t="s">
        <v>195</v>
      </c>
      <c r="BH14" t="s">
        <v>88</v>
      </c>
      <c r="BJ14" s="1">
        <v>1</v>
      </c>
      <c r="BK14" s="1">
        <v>0</v>
      </c>
      <c r="BL14" s="1">
        <v>0</v>
      </c>
      <c r="BM14" s="1">
        <v>0</v>
      </c>
      <c r="BN14" s="1">
        <v>1</v>
      </c>
      <c r="BO14"/>
    </row>
    <row r="15" spans="1:67" x14ac:dyDescent="0.55000000000000004">
      <c r="B15" t="s">
        <v>68</v>
      </c>
      <c r="C15" t="s">
        <v>69</v>
      </c>
      <c r="D15" t="s">
        <v>196</v>
      </c>
      <c r="E15" t="s">
        <v>71</v>
      </c>
      <c r="F15" s="4">
        <v>17</v>
      </c>
      <c r="G15" t="s">
        <v>197</v>
      </c>
      <c r="H1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5" s="1">
        <f>(Tabella15[[#This Row],[ALL5]]+Tabella15[[#This Row],[ALL6]]+Tabella15[[#This Row],[ALL22]]+Tabella15[[#This Row],[ALL32]]+Tabella15[[#This Row],[ALL7]]+Tabella15[[#This Row],[ALL8]])</f>
        <v>1</v>
      </c>
      <c r="K15" s="1"/>
      <c r="L15" s="1"/>
      <c r="M15" s="21">
        <f>Tabella15[[#This Row],[IOT SPECFIC]]+Tabella15[[#This Row],[MBSE]]+Tabella15[[#This Row],[NEW MODEL]]</f>
        <v>0</v>
      </c>
      <c r="N15" s="21">
        <f>IF(Tabella15[[#This Row],[ALL]]&gt;0,1,0)</f>
        <v>0</v>
      </c>
      <c r="O15" s="1"/>
      <c r="P15" s="21">
        <f>IF(Tabella15[[#This Row],[DEPLOYMENT]]&gt;0,1,0)</f>
        <v>0</v>
      </c>
      <c r="Q15" s="1"/>
      <c r="R15" s="1"/>
      <c r="S15" s="1"/>
      <c r="T15" s="21">
        <f>Tabella15[[#This Row],[issues]]+Tabella15[[#This Row],[High Level]]+Tabella15[[#This Row],[ORCHESTRATION]]</f>
        <v>0</v>
      </c>
      <c r="U15" s="21">
        <f>IF(Tabella15[[#This Row],[ALL2]]&gt;0,1,0)</f>
        <v>0</v>
      </c>
      <c r="V15" s="1"/>
      <c r="W15" s="1"/>
      <c r="X15" s="1"/>
      <c r="Y15" s="21">
        <f>Tabella15[[#This Row],[Logginh]]+Tabella15[[#This Row],[Monitoring]]+Tabella15[[#This Row],[Performance]]</f>
        <v>0</v>
      </c>
      <c r="Z15" s="21">
        <f>IF(Tabella15[[#This Row],[ALL3]]&gt;0,1,0)</f>
        <v>0</v>
      </c>
      <c r="AA15" s="1">
        <v>1</v>
      </c>
      <c r="AB15" s="21">
        <f>IF(Tabella15[[#This Row],[TESTING]]&gt;0,1,0)</f>
        <v>1</v>
      </c>
      <c r="AC15" s="1"/>
      <c r="AD15" s="1"/>
      <c r="AE15" s="1"/>
      <c r="AF15" s="1"/>
      <c r="AG15" s="1"/>
      <c r="AH15" s="21">
        <f>Tabella15[[#This Row],[PRIVACY]]+Tabella15[[#This Row],[MATURITY MODEL]]+Tabella15[[#This Row],[ADDITIONAL]]+Tabella15[[#This Row],[DEVSECOPS]]+Tabella15[[#This Row],[SECURITY]]</f>
        <v>0</v>
      </c>
      <c r="AI15" s="21">
        <f>IF(Tabella15[[#This Row],[ALL4]]&gt;0,1,0)</f>
        <v>0</v>
      </c>
      <c r="AJ15" s="1"/>
      <c r="AK15" s="1">
        <v>0</v>
      </c>
      <c r="AL15" s="1">
        <f>(Tabella15[[#This Row],[ALL5]]+Tabella15[[#This Row],[ALL6]]+Tabella15[[#This Row],[ALL22]]+Tabella15[[#This Row],[ALL32]]+Tabella15[[#This Row],[ALL7]]+Tabella15[[#This Row],[ALL8]])*Tabella15[[#This Row],[Citazioni distinte]]</f>
        <v>0</v>
      </c>
      <c r="AM15" s="1">
        <f>(Tabella15[[#This Row],[ALL5]]+Tabella15[[#This Row],[ALL6]]+Tabella15[[#This Row],[ALL22]]+Tabella15[[#This Row],[ALL32]]+Tabella15[[#This Row],[ALL7]]+Tabella15[[#This Row],[ALL8]])*Tabella15[[#This Row],[PUNTO]]</f>
        <v>1.32</v>
      </c>
      <c r="AN15" s="6">
        <v>106</v>
      </c>
      <c r="AO15" s="1">
        <v>13</v>
      </c>
      <c r="AP15" s="1" t="s">
        <v>75</v>
      </c>
      <c r="AQ15" s="1" t="s">
        <v>75</v>
      </c>
      <c r="AR15" s="1" t="s">
        <v>75</v>
      </c>
      <c r="AS15" s="1" t="s">
        <v>75</v>
      </c>
      <c r="AT15" s="1" t="s">
        <v>76</v>
      </c>
      <c r="AU15" s="1" t="s">
        <v>76</v>
      </c>
      <c r="AV15" t="s">
        <v>198</v>
      </c>
      <c r="AW15">
        <v>2024</v>
      </c>
      <c r="AX15" t="s">
        <v>199</v>
      </c>
      <c r="AY15" t="s">
        <v>200</v>
      </c>
      <c r="BB15" t="s">
        <v>200</v>
      </c>
      <c r="BC15" t="s">
        <v>201</v>
      </c>
      <c r="BD15" t="s">
        <v>59</v>
      </c>
      <c r="BE15" t="s">
        <v>202</v>
      </c>
      <c r="BF15" t="s">
        <v>203</v>
      </c>
      <c r="BG15" t="s">
        <v>204</v>
      </c>
      <c r="BH15" t="s">
        <v>205</v>
      </c>
      <c r="BJ15" s="1">
        <v>0</v>
      </c>
      <c r="BK15" s="1">
        <v>0</v>
      </c>
      <c r="BL15" s="1">
        <v>0</v>
      </c>
      <c r="BM15" s="1">
        <v>0</v>
      </c>
      <c r="BN15" s="1">
        <v>0</v>
      </c>
      <c r="BO15"/>
    </row>
    <row r="16" spans="1:67" x14ac:dyDescent="0.55000000000000004">
      <c r="B16" t="s">
        <v>206</v>
      </c>
      <c r="C16" t="s">
        <v>69</v>
      </c>
      <c r="D16" t="s">
        <v>207</v>
      </c>
      <c r="E16" t="s">
        <v>73</v>
      </c>
      <c r="F16" s="4">
        <v>18</v>
      </c>
      <c r="G16" t="s">
        <v>208</v>
      </c>
      <c r="H1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16" s="1">
        <f>(Tabella15[[#This Row],[ALL5]]+Tabella15[[#This Row],[ALL6]]+Tabella15[[#This Row],[ALL22]]+Tabella15[[#This Row],[ALL32]]+Tabella15[[#This Row],[ALL7]]+Tabella15[[#This Row],[ALL8]])</f>
        <v>1</v>
      </c>
      <c r="K16" s="1"/>
      <c r="L16" s="1"/>
      <c r="M16" s="21">
        <f>Tabella15[[#This Row],[IOT SPECFIC]]+Tabella15[[#This Row],[MBSE]]+Tabella15[[#This Row],[NEW MODEL]]</f>
        <v>0</v>
      </c>
      <c r="N16" s="21">
        <f>IF(Tabella15[[#This Row],[ALL]]&gt;0,1,0)</f>
        <v>0</v>
      </c>
      <c r="O16" s="1">
        <v>2</v>
      </c>
      <c r="P16" s="21">
        <f>IF(Tabella15[[#This Row],[DEPLOYMENT]]&gt;0,1,0)</f>
        <v>1</v>
      </c>
      <c r="Q16" s="1"/>
      <c r="R16" s="1"/>
      <c r="S16" s="1"/>
      <c r="T16" s="21">
        <f>Tabella15[[#This Row],[issues]]+Tabella15[[#This Row],[High Level]]+Tabella15[[#This Row],[ORCHESTRATION]]</f>
        <v>0</v>
      </c>
      <c r="U16" s="21">
        <f>IF(Tabella15[[#This Row],[ALL2]]&gt;0,1,0)</f>
        <v>0</v>
      </c>
      <c r="V16" s="1"/>
      <c r="W16" s="1"/>
      <c r="X16" s="1"/>
      <c r="Y16" s="21">
        <f>Tabella15[[#This Row],[Logginh]]+Tabella15[[#This Row],[Monitoring]]+Tabella15[[#This Row],[Performance]]</f>
        <v>0</v>
      </c>
      <c r="Z16" s="21">
        <f>IF(Tabella15[[#This Row],[ALL3]]&gt;0,1,0)</f>
        <v>0</v>
      </c>
      <c r="AA16" s="1"/>
      <c r="AB16" s="21">
        <f>IF(Tabella15[[#This Row],[TESTING]]&gt;0,1,0)</f>
        <v>0</v>
      </c>
      <c r="AC16" s="1"/>
      <c r="AD16" s="1"/>
      <c r="AE16" s="1"/>
      <c r="AF16" s="1"/>
      <c r="AG16" s="1"/>
      <c r="AH16" s="21">
        <f>Tabella15[[#This Row],[PRIVACY]]+Tabella15[[#This Row],[MATURITY MODEL]]+Tabella15[[#This Row],[ADDITIONAL]]+Tabella15[[#This Row],[DEVSECOPS]]+Tabella15[[#This Row],[SECURITY]]</f>
        <v>0</v>
      </c>
      <c r="AI16" s="21">
        <f>IF(Tabella15[[#This Row],[ALL4]]&gt;0,1,0)</f>
        <v>0</v>
      </c>
      <c r="AJ16" s="1">
        <v>3</v>
      </c>
      <c r="AK16" s="1">
        <v>22</v>
      </c>
      <c r="AL16" s="1">
        <f>(Tabella15[[#This Row],[ALL5]]+Tabella15[[#This Row],[ALL6]]+Tabella15[[#This Row],[ALL22]]+Tabella15[[#This Row],[ALL32]]+Tabella15[[#This Row],[ALL7]]+Tabella15[[#This Row],[ALL8]])*Tabella15[[#This Row],[Citazioni distinte]]</f>
        <v>22</v>
      </c>
      <c r="AM16" s="1">
        <f>(Tabella15[[#This Row],[ALL5]]+Tabella15[[#This Row],[ALL6]]+Tabella15[[#This Row],[ALL22]]+Tabella15[[#This Row],[ALL32]]+Tabella15[[#This Row],[ALL7]]+Tabella15[[#This Row],[ALL8]])*Tabella15[[#This Row],[PUNTO]]</f>
        <v>3.66</v>
      </c>
      <c r="AN16" s="6">
        <v>130</v>
      </c>
      <c r="AO16" s="1">
        <v>10</v>
      </c>
      <c r="AP16" s="1" t="s">
        <v>102</v>
      </c>
      <c r="AQ16" s="1" t="s">
        <v>102</v>
      </c>
      <c r="AR16" s="1" t="s">
        <v>102</v>
      </c>
      <c r="AS16" s="1" t="s">
        <v>74</v>
      </c>
      <c r="AT16" s="1" t="s">
        <v>77</v>
      </c>
      <c r="AU16" s="1" t="s">
        <v>77</v>
      </c>
      <c r="AV16" t="s">
        <v>209</v>
      </c>
      <c r="AW16">
        <v>2019</v>
      </c>
      <c r="AX16" t="s">
        <v>210</v>
      </c>
      <c r="AY16" s="2" t="s">
        <v>211</v>
      </c>
      <c r="BB16" t="s">
        <v>211</v>
      </c>
      <c r="BC16" t="s">
        <v>212</v>
      </c>
      <c r="BD16" t="s">
        <v>60</v>
      </c>
      <c r="BE16" t="s">
        <v>213</v>
      </c>
      <c r="BF16" t="s">
        <v>214</v>
      </c>
      <c r="BG16" t="s">
        <v>215</v>
      </c>
      <c r="BH16" t="s">
        <v>88</v>
      </c>
      <c r="BJ16" s="1">
        <v>20</v>
      </c>
      <c r="BK16" s="1">
        <v>14</v>
      </c>
      <c r="BL16" s="1">
        <v>13</v>
      </c>
      <c r="BM16" s="1">
        <v>0</v>
      </c>
      <c r="BN16" s="1">
        <v>22</v>
      </c>
      <c r="BO16"/>
    </row>
    <row r="17" spans="2:67" x14ac:dyDescent="0.55000000000000004">
      <c r="B17" t="s">
        <v>122</v>
      </c>
      <c r="C17" t="s">
        <v>123</v>
      </c>
      <c r="D17" t="s">
        <v>85</v>
      </c>
      <c r="E17" t="s">
        <v>102</v>
      </c>
      <c r="F17" s="4">
        <v>25</v>
      </c>
      <c r="G17" t="s">
        <v>216</v>
      </c>
      <c r="H1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17" s="1">
        <f>(Tabella15[[#This Row],[ALL5]]+Tabella15[[#This Row],[ALL6]]+Tabella15[[#This Row],[ALL22]]+Tabella15[[#This Row],[ALL32]]+Tabella15[[#This Row],[ALL7]]+Tabella15[[#This Row],[ALL8]])</f>
        <v>2</v>
      </c>
      <c r="K17" s="1"/>
      <c r="L17" s="1"/>
      <c r="M17" s="21">
        <f>Tabella15[[#This Row],[IOT SPECFIC]]+Tabella15[[#This Row],[MBSE]]+Tabella15[[#This Row],[NEW MODEL]]</f>
        <v>0</v>
      </c>
      <c r="N17" s="21">
        <f>IF(Tabella15[[#This Row],[ALL]]&gt;0,1,0)</f>
        <v>0</v>
      </c>
      <c r="O17" s="1">
        <v>3</v>
      </c>
      <c r="P17" s="21">
        <f>IF(Tabella15[[#This Row],[DEPLOYMENT]]&gt;0,1,0)</f>
        <v>1</v>
      </c>
      <c r="Q17" s="1"/>
      <c r="R17" s="1">
        <v>1</v>
      </c>
      <c r="S17" s="1"/>
      <c r="T17" s="21">
        <f>Tabella15[[#This Row],[issues]]+Tabella15[[#This Row],[High Level]]+Tabella15[[#This Row],[ORCHESTRATION]]</f>
        <v>1</v>
      </c>
      <c r="U17" s="21">
        <f>IF(Tabella15[[#This Row],[ALL2]]&gt;0,1,0)</f>
        <v>1</v>
      </c>
      <c r="V17" s="1"/>
      <c r="W17" s="1"/>
      <c r="X17" s="1"/>
      <c r="Y17" s="21">
        <f>Tabella15[[#This Row],[Logginh]]+Tabella15[[#This Row],[Monitoring]]+Tabella15[[#This Row],[Performance]]</f>
        <v>0</v>
      </c>
      <c r="Z17" s="21">
        <f>IF(Tabella15[[#This Row],[ALL3]]&gt;0,1,0)</f>
        <v>0</v>
      </c>
      <c r="AA17" s="1"/>
      <c r="AB17" s="21">
        <f>IF(Tabella15[[#This Row],[TESTING]]&gt;0,1,0)</f>
        <v>0</v>
      </c>
      <c r="AC17" s="1"/>
      <c r="AD17" s="1"/>
      <c r="AE17" s="1"/>
      <c r="AF17" s="1"/>
      <c r="AG17" s="1"/>
      <c r="AH17" s="21">
        <f>Tabella15[[#This Row],[PRIVACY]]+Tabella15[[#This Row],[MATURITY MODEL]]+Tabella15[[#This Row],[ADDITIONAL]]+Tabella15[[#This Row],[DEVSECOPS]]+Tabella15[[#This Row],[SECURITY]]</f>
        <v>0</v>
      </c>
      <c r="AI17" s="21">
        <f>IF(Tabella15[[#This Row],[ALL4]]&gt;0,1,0)</f>
        <v>0</v>
      </c>
      <c r="AJ17" s="1">
        <v>-1</v>
      </c>
      <c r="AK17" s="1">
        <v>44</v>
      </c>
      <c r="AL17" s="1">
        <f>(Tabella15[[#This Row],[ALL5]]+Tabella15[[#This Row],[ALL6]]+Tabella15[[#This Row],[ALL22]]+Tabella15[[#This Row],[ALL32]]+Tabella15[[#This Row],[ALL7]]+Tabella15[[#This Row],[ALL8]])*Tabella15[[#This Row],[Citazioni distinte]]</f>
        <v>88</v>
      </c>
      <c r="AM17" s="1">
        <f>(Tabella15[[#This Row],[ALL5]]+Tabella15[[#This Row],[ALL6]]+Tabella15[[#This Row],[ALL22]]+Tabella15[[#This Row],[ALL32]]+Tabella15[[#This Row],[ALL7]]+Tabella15[[#This Row],[ALL8]])*Tabella15[[#This Row],[PUNTO]]</f>
        <v>7.32</v>
      </c>
      <c r="AN17" s="6">
        <v>65</v>
      </c>
      <c r="AO17" s="1">
        <v>26</v>
      </c>
      <c r="AP17" s="1" t="s">
        <v>102</v>
      </c>
      <c r="AQ17" s="1" t="s">
        <v>102</v>
      </c>
      <c r="AR17" s="1" t="s">
        <v>102</v>
      </c>
      <c r="AS17" s="1" t="s">
        <v>74</v>
      </c>
      <c r="AT17" s="1" t="s">
        <v>77</v>
      </c>
      <c r="AU17" s="1" t="s">
        <v>77</v>
      </c>
      <c r="AV17" t="s">
        <v>217</v>
      </c>
      <c r="AW17">
        <v>2024</v>
      </c>
      <c r="AX17" t="s">
        <v>218</v>
      </c>
      <c r="BD17" t="s">
        <v>61</v>
      </c>
      <c r="BE17" t="s">
        <v>85</v>
      </c>
      <c r="BF17" t="s">
        <v>219</v>
      </c>
      <c r="BG17" t="s">
        <v>220</v>
      </c>
      <c r="BH17" t="s">
        <v>88</v>
      </c>
      <c r="BJ17" s="1">
        <v>44</v>
      </c>
      <c r="BK17" s="1">
        <v>0</v>
      </c>
      <c r="BL17" s="1">
        <v>26</v>
      </c>
      <c r="BM17" s="1">
        <v>0</v>
      </c>
      <c r="BN17" s="1">
        <v>44</v>
      </c>
      <c r="BO17"/>
    </row>
    <row r="18" spans="2:67" x14ac:dyDescent="0.55000000000000004">
      <c r="B18" t="s">
        <v>68</v>
      </c>
      <c r="C18" t="s">
        <v>69</v>
      </c>
      <c r="D18" t="s">
        <v>89</v>
      </c>
      <c r="E18" t="s">
        <v>71</v>
      </c>
      <c r="F18" s="4">
        <v>26</v>
      </c>
      <c r="G18" t="s">
        <v>221</v>
      </c>
      <c r="H1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18" s="1">
        <f>(Tabella15[[#This Row],[ALL5]]+Tabella15[[#This Row],[ALL6]]+Tabella15[[#This Row],[ALL22]]+Tabella15[[#This Row],[ALL32]]+Tabella15[[#This Row],[ALL7]]+Tabella15[[#This Row],[ALL8]])</f>
        <v>1</v>
      </c>
      <c r="K18" s="1"/>
      <c r="L18" s="1"/>
      <c r="M18" s="21">
        <f>Tabella15[[#This Row],[IOT SPECFIC]]+Tabella15[[#This Row],[MBSE]]+Tabella15[[#This Row],[NEW MODEL]]</f>
        <v>0</v>
      </c>
      <c r="N18" s="21">
        <f>IF(Tabella15[[#This Row],[ALL]]&gt;0,1,0)</f>
        <v>0</v>
      </c>
      <c r="O18" s="1"/>
      <c r="P18" s="21">
        <f>IF(Tabella15[[#This Row],[DEPLOYMENT]]&gt;0,1,0)</f>
        <v>0</v>
      </c>
      <c r="Q18" s="1"/>
      <c r="R18" s="1"/>
      <c r="S18" s="1"/>
      <c r="T18" s="21">
        <f>Tabella15[[#This Row],[issues]]+Tabella15[[#This Row],[High Level]]+Tabella15[[#This Row],[ORCHESTRATION]]</f>
        <v>0</v>
      </c>
      <c r="U18" s="21">
        <f>IF(Tabella15[[#This Row],[ALL2]]&gt;0,1,0)</f>
        <v>0</v>
      </c>
      <c r="V18" s="1"/>
      <c r="W18" s="1"/>
      <c r="X18" s="1">
        <v>1</v>
      </c>
      <c r="Y18" s="21">
        <f>Tabella15[[#This Row],[Logginh]]+Tabella15[[#This Row],[Monitoring]]+Tabella15[[#This Row],[Performance]]</f>
        <v>1</v>
      </c>
      <c r="Z18" s="21">
        <f>IF(Tabella15[[#This Row],[ALL3]]&gt;0,1,0)</f>
        <v>1</v>
      </c>
      <c r="AA18" s="1"/>
      <c r="AB18" s="21">
        <f>IF(Tabella15[[#This Row],[TESTING]]&gt;0,1,0)</f>
        <v>0</v>
      </c>
      <c r="AC18" s="1"/>
      <c r="AD18" s="1"/>
      <c r="AE18" s="1"/>
      <c r="AF18" s="1"/>
      <c r="AG18" s="1"/>
      <c r="AH18" s="21">
        <f>Tabella15[[#This Row],[PRIVACY]]+Tabella15[[#This Row],[MATURITY MODEL]]+Tabella15[[#This Row],[ADDITIONAL]]+Tabella15[[#This Row],[DEVSECOPS]]+Tabella15[[#This Row],[SECURITY]]</f>
        <v>0</v>
      </c>
      <c r="AI18" s="21">
        <f>IF(Tabella15[[#This Row],[ALL4]]&gt;0,1,0)</f>
        <v>0</v>
      </c>
      <c r="AJ18" s="1"/>
      <c r="AK18" s="1">
        <v>6</v>
      </c>
      <c r="AL18" s="1">
        <f>(Tabella15[[#This Row],[ALL5]]+Tabella15[[#This Row],[ALL6]]+Tabella15[[#This Row],[ALL22]]+Tabella15[[#This Row],[ALL32]]+Tabella15[[#This Row],[ALL7]]+Tabella15[[#This Row],[ALL8]])*Tabella15[[#This Row],[Citazioni distinte]]</f>
        <v>6</v>
      </c>
      <c r="AM18" s="1">
        <f>(Tabella15[[#This Row],[ALL5]]+Tabella15[[#This Row],[ALL6]]+Tabella15[[#This Row],[ALL22]]+Tabella15[[#This Row],[ALL32]]+Tabella15[[#This Row],[ALL7]]+Tabella15[[#This Row],[ALL8]])*Tabella15[[#This Row],[PUNTO]]</f>
        <v>2.99</v>
      </c>
      <c r="AN18" s="6">
        <v>99</v>
      </c>
      <c r="AO18" s="1">
        <v>12</v>
      </c>
      <c r="AP18" s="1" t="s">
        <v>102</v>
      </c>
      <c r="AQ18" s="1" t="s">
        <v>74</v>
      </c>
      <c r="AR18" s="1" t="s">
        <v>102</v>
      </c>
      <c r="AS18" s="1" t="s">
        <v>75</v>
      </c>
      <c r="AT18" s="1" t="s">
        <v>76</v>
      </c>
      <c r="AU18" s="1" t="s">
        <v>76</v>
      </c>
      <c r="AV18" t="s">
        <v>222</v>
      </c>
      <c r="AW18">
        <v>2018</v>
      </c>
      <c r="AX18" t="s">
        <v>223</v>
      </c>
      <c r="BD18" t="s">
        <v>61</v>
      </c>
      <c r="BE18" t="s">
        <v>213</v>
      </c>
      <c r="BF18" t="s">
        <v>224</v>
      </c>
      <c r="BG18" t="s">
        <v>225</v>
      </c>
      <c r="BH18" t="s">
        <v>88</v>
      </c>
      <c r="BJ18" s="1">
        <v>2</v>
      </c>
      <c r="BK18" s="1">
        <v>2</v>
      </c>
      <c r="BL18" s="1">
        <v>1</v>
      </c>
      <c r="BM18" s="1">
        <v>5</v>
      </c>
      <c r="BN18" s="1">
        <v>6</v>
      </c>
      <c r="BO18"/>
    </row>
    <row r="19" spans="2:67" x14ac:dyDescent="0.55000000000000004">
      <c r="B19" t="s">
        <v>122</v>
      </c>
      <c r="C19" t="s">
        <v>123</v>
      </c>
      <c r="D19" t="s">
        <v>100</v>
      </c>
      <c r="E19" t="s">
        <v>71</v>
      </c>
      <c r="F19" s="4">
        <v>27</v>
      </c>
      <c r="G19" t="s">
        <v>226</v>
      </c>
      <c r="H1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19" s="1">
        <f>(Tabella15[[#This Row],[ALL5]]+Tabella15[[#This Row],[ALL6]]+Tabella15[[#This Row],[ALL22]]+Tabella15[[#This Row],[ALL32]]+Tabella15[[#This Row],[ALL7]]+Tabella15[[#This Row],[ALL8]])</f>
        <v>2</v>
      </c>
      <c r="K19" s="1">
        <v>3</v>
      </c>
      <c r="L19" s="1"/>
      <c r="M19" s="21">
        <f>Tabella15[[#This Row],[IOT SPECFIC]]+Tabella15[[#This Row],[MBSE]]+Tabella15[[#This Row],[NEW MODEL]]</f>
        <v>3</v>
      </c>
      <c r="N19" s="21">
        <f>IF(Tabella15[[#This Row],[ALL]]&gt;0,1,0)</f>
        <v>1</v>
      </c>
      <c r="O19" s="1">
        <v>1</v>
      </c>
      <c r="P19" s="21">
        <f>IF(Tabella15[[#This Row],[DEPLOYMENT]]&gt;0,1,0)</f>
        <v>1</v>
      </c>
      <c r="Q19" s="1"/>
      <c r="R19" s="1"/>
      <c r="S19" s="1"/>
      <c r="T19" s="21">
        <f>Tabella15[[#This Row],[issues]]+Tabella15[[#This Row],[High Level]]+Tabella15[[#This Row],[ORCHESTRATION]]</f>
        <v>0</v>
      </c>
      <c r="U19" s="21">
        <f>IF(Tabella15[[#This Row],[ALL2]]&gt;0,1,0)</f>
        <v>0</v>
      </c>
      <c r="V19" s="1"/>
      <c r="W19" s="1"/>
      <c r="X19" s="1"/>
      <c r="Y19" s="21">
        <f>Tabella15[[#This Row],[Logginh]]+Tabella15[[#This Row],[Monitoring]]+Tabella15[[#This Row],[Performance]]</f>
        <v>0</v>
      </c>
      <c r="Z19" s="21">
        <f>IF(Tabella15[[#This Row],[ALL3]]&gt;0,1,0)</f>
        <v>0</v>
      </c>
      <c r="AA19" s="1"/>
      <c r="AB19" s="21">
        <f>IF(Tabella15[[#This Row],[TESTING]]&gt;0,1,0)</f>
        <v>0</v>
      </c>
      <c r="AC19" s="1"/>
      <c r="AD19" s="1"/>
      <c r="AE19" s="1"/>
      <c r="AF19" s="1"/>
      <c r="AG19" s="1"/>
      <c r="AH19" s="21">
        <f>Tabella15[[#This Row],[PRIVACY]]+Tabella15[[#This Row],[MATURITY MODEL]]+Tabella15[[#This Row],[ADDITIONAL]]+Tabella15[[#This Row],[DEVSECOPS]]+Tabella15[[#This Row],[SECURITY]]</f>
        <v>0</v>
      </c>
      <c r="AI19" s="21">
        <f>IF(Tabella15[[#This Row],[ALL4]]&gt;0,1,0)</f>
        <v>0</v>
      </c>
      <c r="AJ19" s="1"/>
      <c r="AK19" s="1">
        <v>7</v>
      </c>
      <c r="AL19" s="1">
        <f>(Tabella15[[#This Row],[ALL5]]+Tabella15[[#This Row],[ALL6]]+Tabella15[[#This Row],[ALL22]]+Tabella15[[#This Row],[ALL32]]+Tabella15[[#This Row],[ALL7]]+Tabella15[[#This Row],[ALL8]])*Tabella15[[#This Row],[Citazioni distinte]]</f>
        <v>14</v>
      </c>
      <c r="AM19" s="1">
        <f>(Tabella15[[#This Row],[ALL5]]+Tabella15[[#This Row],[ALL6]]+Tabella15[[#This Row],[ALL22]]+Tabella15[[#This Row],[ALL32]]+Tabella15[[#This Row],[ALL7]]+Tabella15[[#This Row],[ALL8]])*Tabella15[[#This Row],[PUNTO]]</f>
        <v>5.98</v>
      </c>
      <c r="AN19" s="6">
        <v>41</v>
      </c>
      <c r="AO19" s="1">
        <v>24</v>
      </c>
      <c r="AP19" s="1" t="s">
        <v>102</v>
      </c>
      <c r="AQ19" s="1" t="s">
        <v>74</v>
      </c>
      <c r="AR19" s="1" t="s">
        <v>102</v>
      </c>
      <c r="AS19" s="1" t="s">
        <v>75</v>
      </c>
      <c r="AT19" s="1" t="s">
        <v>77</v>
      </c>
      <c r="AU19" s="1" t="s">
        <v>76</v>
      </c>
      <c r="AV19" t="s">
        <v>227</v>
      </c>
      <c r="AW19">
        <v>2019</v>
      </c>
      <c r="AX19" t="s">
        <v>228</v>
      </c>
      <c r="AY19" t="s">
        <v>229</v>
      </c>
      <c r="BB19" t="s">
        <v>229</v>
      </c>
      <c r="BD19" t="s">
        <v>59</v>
      </c>
      <c r="BE19" t="s">
        <v>100</v>
      </c>
      <c r="BF19" t="s">
        <v>230</v>
      </c>
      <c r="BG19" t="s">
        <v>231</v>
      </c>
      <c r="BH19" t="s">
        <v>88</v>
      </c>
      <c r="BJ19" s="1">
        <v>7</v>
      </c>
      <c r="BK19" s="1">
        <v>0</v>
      </c>
      <c r="BL19" s="1">
        <v>0</v>
      </c>
      <c r="BM19" s="1">
        <v>0</v>
      </c>
      <c r="BN19" s="1">
        <v>7</v>
      </c>
      <c r="BO19"/>
    </row>
    <row r="20" spans="2:67" x14ac:dyDescent="0.55000000000000004">
      <c r="B20" t="s">
        <v>68</v>
      </c>
      <c r="C20" t="s">
        <v>69</v>
      </c>
      <c r="D20" t="s">
        <v>232</v>
      </c>
      <c r="E20" t="s">
        <v>71</v>
      </c>
      <c r="F20" s="4">
        <v>28</v>
      </c>
      <c r="G20" t="s">
        <v>233</v>
      </c>
      <c r="H2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20" s="1">
        <f>(Tabella15[[#This Row],[ALL5]]+Tabella15[[#This Row],[ALL6]]+Tabella15[[#This Row],[ALL22]]+Tabella15[[#This Row],[ALL32]]+Tabella15[[#This Row],[ALL7]]+Tabella15[[#This Row],[ALL8]])</f>
        <v>2</v>
      </c>
      <c r="K20" s="1"/>
      <c r="L20" s="1"/>
      <c r="M20" s="21">
        <f>Tabella15[[#This Row],[IOT SPECFIC]]+Tabella15[[#This Row],[MBSE]]+Tabella15[[#This Row],[NEW MODEL]]</f>
        <v>0</v>
      </c>
      <c r="N20" s="21">
        <f>IF(Tabella15[[#This Row],[ALL]]&gt;0,1,0)</f>
        <v>0</v>
      </c>
      <c r="O20" s="1">
        <v>1</v>
      </c>
      <c r="P20" s="21">
        <f>IF(Tabella15[[#This Row],[DEPLOYMENT]]&gt;0,1,0)</f>
        <v>1</v>
      </c>
      <c r="Q20" s="1">
        <v>1</v>
      </c>
      <c r="R20" s="1"/>
      <c r="S20" s="1"/>
      <c r="T20" s="21">
        <f>Tabella15[[#This Row],[issues]]+Tabella15[[#This Row],[High Level]]+Tabella15[[#This Row],[ORCHESTRATION]]</f>
        <v>1</v>
      </c>
      <c r="U20" s="21">
        <f>IF(Tabella15[[#This Row],[ALL2]]&gt;0,1,0)</f>
        <v>1</v>
      </c>
      <c r="V20" s="1"/>
      <c r="W20" s="1"/>
      <c r="X20" s="1"/>
      <c r="Y20" s="21">
        <f>Tabella15[[#This Row],[Logginh]]+Tabella15[[#This Row],[Monitoring]]+Tabella15[[#This Row],[Performance]]</f>
        <v>0</v>
      </c>
      <c r="Z20" s="21">
        <f>IF(Tabella15[[#This Row],[ALL3]]&gt;0,1,0)</f>
        <v>0</v>
      </c>
      <c r="AA20" s="1"/>
      <c r="AB20" s="21">
        <f>IF(Tabella15[[#This Row],[TESTING]]&gt;0,1,0)</f>
        <v>0</v>
      </c>
      <c r="AC20" s="1"/>
      <c r="AD20" s="1"/>
      <c r="AE20" s="1"/>
      <c r="AF20" s="1"/>
      <c r="AG20" s="1"/>
      <c r="AH20" s="21">
        <f>Tabella15[[#This Row],[PRIVACY]]+Tabella15[[#This Row],[MATURITY MODEL]]+Tabella15[[#This Row],[ADDITIONAL]]+Tabella15[[#This Row],[DEVSECOPS]]+Tabella15[[#This Row],[SECURITY]]</f>
        <v>0</v>
      </c>
      <c r="AI20" s="21">
        <f>IF(Tabella15[[#This Row],[ALL4]]&gt;0,1,0)</f>
        <v>0</v>
      </c>
      <c r="AJ20" s="1"/>
      <c r="AK20" s="1">
        <v>4</v>
      </c>
      <c r="AL20" s="1">
        <f>(Tabella15[[#This Row],[ALL5]]+Tabella15[[#This Row],[ALL6]]+Tabella15[[#This Row],[ALL22]]+Tabella15[[#This Row],[ALL32]]+Tabella15[[#This Row],[ALL7]]+Tabella15[[#This Row],[ALL8]])*Tabella15[[#This Row],[Citazioni distinte]]</f>
        <v>8</v>
      </c>
      <c r="AM20" s="1">
        <f>(Tabella15[[#This Row],[ALL5]]+Tabella15[[#This Row],[ALL6]]+Tabella15[[#This Row],[ALL22]]+Tabella15[[#This Row],[ALL32]]+Tabella15[[#This Row],[ALL7]]+Tabella15[[#This Row],[ALL8]])*Tabella15[[#This Row],[PUNTO]]</f>
        <v>5.98</v>
      </c>
      <c r="AN20" s="6">
        <v>71</v>
      </c>
      <c r="AO20" s="1">
        <v>6</v>
      </c>
      <c r="AP20" s="1" t="s">
        <v>102</v>
      </c>
      <c r="AQ20" s="1" t="s">
        <v>74</v>
      </c>
      <c r="AR20" s="1" t="s">
        <v>102</v>
      </c>
      <c r="AS20" s="1" t="s">
        <v>75</v>
      </c>
      <c r="AT20" s="1" t="s">
        <v>76</v>
      </c>
      <c r="AU20" s="1" t="s">
        <v>77</v>
      </c>
      <c r="AV20" t="s">
        <v>234</v>
      </c>
      <c r="AW20">
        <v>2023</v>
      </c>
      <c r="AX20" t="s">
        <v>235</v>
      </c>
      <c r="AY20" s="2" t="s">
        <v>236</v>
      </c>
      <c r="BB20" t="s">
        <v>236</v>
      </c>
      <c r="BC20" t="s">
        <v>237</v>
      </c>
      <c r="BD20" t="s">
        <v>60</v>
      </c>
      <c r="BE20" t="s">
        <v>131</v>
      </c>
      <c r="BF20" t="s">
        <v>238</v>
      </c>
      <c r="BG20" t="s">
        <v>239</v>
      </c>
      <c r="BH20" t="s">
        <v>88</v>
      </c>
      <c r="BJ20" s="1">
        <v>4</v>
      </c>
      <c r="BK20" s="1">
        <v>2</v>
      </c>
      <c r="BL20" s="1">
        <v>0</v>
      </c>
      <c r="BM20" s="1">
        <v>0</v>
      </c>
      <c r="BN20" s="1">
        <v>4</v>
      </c>
      <c r="BO20"/>
    </row>
    <row r="21" spans="2:67" x14ac:dyDescent="0.55000000000000004">
      <c r="B21" t="s">
        <v>122</v>
      </c>
      <c r="C21" t="s">
        <v>123</v>
      </c>
      <c r="D21" t="s">
        <v>207</v>
      </c>
      <c r="E21" t="s">
        <v>73</v>
      </c>
      <c r="F21" s="4">
        <v>30</v>
      </c>
      <c r="G21" t="s">
        <v>240</v>
      </c>
      <c r="H2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21" s="1">
        <f>(Tabella15[[#This Row],[ALL5]]+Tabella15[[#This Row],[ALL6]]+Tabella15[[#This Row],[ALL22]]+Tabella15[[#This Row],[ALL32]]+Tabella15[[#This Row],[ALL7]]+Tabella15[[#This Row],[ALL8]])</f>
        <v>2</v>
      </c>
      <c r="K21" s="1"/>
      <c r="L21" s="1">
        <v>1</v>
      </c>
      <c r="M21" s="21">
        <f>Tabella15[[#This Row],[IOT SPECFIC]]+Tabella15[[#This Row],[MBSE]]+Tabella15[[#This Row],[NEW MODEL]]</f>
        <v>1</v>
      </c>
      <c r="N21" s="21">
        <f>IF(Tabella15[[#This Row],[ALL]]&gt;0,1,0)</f>
        <v>1</v>
      </c>
      <c r="O21" s="1">
        <v>3</v>
      </c>
      <c r="P21" s="21">
        <f>IF(Tabella15[[#This Row],[DEPLOYMENT]]&gt;0,1,0)</f>
        <v>1</v>
      </c>
      <c r="Q21" s="1"/>
      <c r="R21" s="1"/>
      <c r="S21" s="1"/>
      <c r="T21" s="21">
        <f>Tabella15[[#This Row],[issues]]+Tabella15[[#This Row],[High Level]]+Tabella15[[#This Row],[ORCHESTRATION]]</f>
        <v>0</v>
      </c>
      <c r="U21" s="21">
        <f>IF(Tabella15[[#This Row],[ALL2]]&gt;0,1,0)</f>
        <v>0</v>
      </c>
      <c r="V21" s="1"/>
      <c r="W21" s="1"/>
      <c r="X21" s="1"/>
      <c r="Y21" s="21">
        <f>Tabella15[[#This Row],[Logginh]]+Tabella15[[#This Row],[Monitoring]]+Tabella15[[#This Row],[Performance]]</f>
        <v>0</v>
      </c>
      <c r="Z21" s="21">
        <f>IF(Tabella15[[#This Row],[ALL3]]&gt;0,1,0)</f>
        <v>0</v>
      </c>
      <c r="AA21" s="1"/>
      <c r="AB21" s="21">
        <f>IF(Tabella15[[#This Row],[TESTING]]&gt;0,1,0)</f>
        <v>0</v>
      </c>
      <c r="AC21" s="1"/>
      <c r="AD21" s="1"/>
      <c r="AE21" s="1"/>
      <c r="AF21" s="1"/>
      <c r="AG21" s="1"/>
      <c r="AH21" s="21">
        <f>Tabella15[[#This Row],[PRIVACY]]+Tabella15[[#This Row],[MATURITY MODEL]]+Tabella15[[#This Row],[ADDITIONAL]]+Tabella15[[#This Row],[DEVSECOPS]]+Tabella15[[#This Row],[SECURITY]]</f>
        <v>0</v>
      </c>
      <c r="AI21" s="21">
        <f>IF(Tabella15[[#This Row],[ALL4]]&gt;0,1,0)</f>
        <v>0</v>
      </c>
      <c r="AJ21" s="1">
        <v>3</v>
      </c>
      <c r="AK21" s="1">
        <v>12</v>
      </c>
      <c r="AL21" s="1">
        <f>(Tabella15[[#This Row],[ALL5]]+Tabella15[[#This Row],[ALL6]]+Tabella15[[#This Row],[ALL22]]+Tabella15[[#This Row],[ALL32]]+Tabella15[[#This Row],[ALL7]]+Tabella15[[#This Row],[ALL8]])*Tabella15[[#This Row],[Citazioni distinte]]</f>
        <v>24</v>
      </c>
      <c r="AM21" s="1">
        <f>(Tabella15[[#This Row],[ALL5]]+Tabella15[[#This Row],[ALL6]]+Tabella15[[#This Row],[ALL22]]+Tabella15[[#This Row],[ALL32]]+Tabella15[[#This Row],[ALL7]]+Tabella15[[#This Row],[ALL8]])*Tabella15[[#This Row],[PUNTO]]</f>
        <v>7.32</v>
      </c>
      <c r="AN21" s="6">
        <v>131</v>
      </c>
      <c r="AO21" s="1">
        <v>17</v>
      </c>
      <c r="AP21" s="1" t="s">
        <v>102</v>
      </c>
      <c r="AQ21" s="1" t="s">
        <v>102</v>
      </c>
      <c r="AR21" s="1" t="s">
        <v>102</v>
      </c>
      <c r="AS21" s="1" t="s">
        <v>74</v>
      </c>
      <c r="AT21" s="1" t="s">
        <v>77</v>
      </c>
      <c r="AU21" s="1" t="s">
        <v>77</v>
      </c>
      <c r="AV21" t="s">
        <v>241</v>
      </c>
      <c r="AW21">
        <v>2022</v>
      </c>
      <c r="AX21" t="s">
        <v>242</v>
      </c>
      <c r="BD21" t="s">
        <v>61</v>
      </c>
      <c r="BE21" t="s">
        <v>85</v>
      </c>
      <c r="BF21" t="s">
        <v>243</v>
      </c>
      <c r="BG21" t="s">
        <v>195</v>
      </c>
      <c r="BH21" t="s">
        <v>88</v>
      </c>
      <c r="BJ21" s="1">
        <v>12</v>
      </c>
      <c r="BK21" s="1">
        <v>0</v>
      </c>
      <c r="BL21" s="1">
        <v>8</v>
      </c>
      <c r="BM21" s="1">
        <v>0</v>
      </c>
      <c r="BN21" s="1">
        <v>12</v>
      </c>
      <c r="BO21"/>
    </row>
    <row r="22" spans="2:67" x14ac:dyDescent="0.55000000000000004">
      <c r="B22" t="s">
        <v>122</v>
      </c>
      <c r="C22" t="s">
        <v>123</v>
      </c>
      <c r="D22" t="s">
        <v>196</v>
      </c>
      <c r="E22" t="s">
        <v>71</v>
      </c>
      <c r="F22" s="4">
        <v>31</v>
      </c>
      <c r="G22" t="s">
        <v>244</v>
      </c>
      <c r="H2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22" s="1">
        <f>(Tabella15[[#This Row],[ALL5]]+Tabella15[[#This Row],[ALL6]]+Tabella15[[#This Row],[ALL22]]+Tabella15[[#This Row],[ALL32]]+Tabella15[[#This Row],[ALL7]]+Tabella15[[#This Row],[ALL8]])</f>
        <v>1</v>
      </c>
      <c r="K22" s="1"/>
      <c r="L22" s="1"/>
      <c r="M22" s="21">
        <f>Tabella15[[#This Row],[IOT SPECFIC]]+Tabella15[[#This Row],[MBSE]]+Tabella15[[#This Row],[NEW MODEL]]</f>
        <v>0</v>
      </c>
      <c r="N22" s="21">
        <f>IF(Tabella15[[#This Row],[ALL]]&gt;0,1,0)</f>
        <v>0</v>
      </c>
      <c r="O22" s="1"/>
      <c r="P22" s="21">
        <f>IF(Tabella15[[#This Row],[DEPLOYMENT]]&gt;0,1,0)</f>
        <v>0</v>
      </c>
      <c r="Q22" s="1"/>
      <c r="R22" s="1"/>
      <c r="S22" s="1"/>
      <c r="T22" s="21">
        <f>Tabella15[[#This Row],[issues]]+Tabella15[[#This Row],[High Level]]+Tabella15[[#This Row],[ORCHESTRATION]]</f>
        <v>0</v>
      </c>
      <c r="U22" s="21">
        <f>IF(Tabella15[[#This Row],[ALL2]]&gt;0,1,0)</f>
        <v>0</v>
      </c>
      <c r="V22" s="1"/>
      <c r="W22" s="1"/>
      <c r="X22" s="1"/>
      <c r="Y22" s="21">
        <f>Tabella15[[#This Row],[Logginh]]+Tabella15[[#This Row],[Monitoring]]+Tabella15[[#This Row],[Performance]]</f>
        <v>0</v>
      </c>
      <c r="Z22" s="21">
        <f>IF(Tabella15[[#This Row],[ALL3]]&gt;0,1,0)</f>
        <v>0</v>
      </c>
      <c r="AA22" s="1">
        <v>1</v>
      </c>
      <c r="AB22" s="21">
        <f>IF(Tabella15[[#This Row],[TESTING]]&gt;0,1,0)</f>
        <v>1</v>
      </c>
      <c r="AC22" s="1"/>
      <c r="AD22" s="1"/>
      <c r="AE22" s="1"/>
      <c r="AF22" s="1"/>
      <c r="AG22" s="1"/>
      <c r="AH22" s="21">
        <f>Tabella15[[#This Row],[PRIVACY]]+Tabella15[[#This Row],[MATURITY MODEL]]+Tabella15[[#This Row],[ADDITIONAL]]+Tabella15[[#This Row],[DEVSECOPS]]+Tabella15[[#This Row],[SECURITY]]</f>
        <v>0</v>
      </c>
      <c r="AI22" s="21">
        <f>IF(Tabella15[[#This Row],[ALL4]]&gt;0,1,0)</f>
        <v>0</v>
      </c>
      <c r="AJ22" s="1"/>
      <c r="AK22" s="1">
        <v>7</v>
      </c>
      <c r="AL22" s="1">
        <f>(Tabella15[[#This Row],[ALL5]]+Tabella15[[#This Row],[ALL6]]+Tabella15[[#This Row],[ALL22]]+Tabella15[[#This Row],[ALL32]]+Tabella15[[#This Row],[ALL7]]+Tabella15[[#This Row],[ALL8]])*Tabella15[[#This Row],[Citazioni distinte]]</f>
        <v>7</v>
      </c>
      <c r="AM22" s="1">
        <f>(Tabella15[[#This Row],[ALL5]]+Tabella15[[#This Row],[ALL6]]+Tabella15[[#This Row],[ALL22]]+Tabella15[[#This Row],[ALL32]]+Tabella15[[#This Row],[ALL7]]+Tabella15[[#This Row],[ALL8]])*Tabella15[[#This Row],[PUNTO]]</f>
        <v>1.32</v>
      </c>
      <c r="AN22" s="6">
        <v>107</v>
      </c>
      <c r="AO22" s="1">
        <v>4</v>
      </c>
      <c r="AP22" s="1" t="s">
        <v>75</v>
      </c>
      <c r="AQ22" s="1" t="s">
        <v>75</v>
      </c>
      <c r="AR22" s="1" t="s">
        <v>75</v>
      </c>
      <c r="AS22" s="1" t="s">
        <v>75</v>
      </c>
      <c r="AT22" s="1" t="s">
        <v>76</v>
      </c>
      <c r="AU22" s="1" t="s">
        <v>77</v>
      </c>
      <c r="AV22" t="s">
        <v>245</v>
      </c>
      <c r="AW22">
        <v>2020</v>
      </c>
      <c r="AX22" t="s">
        <v>246</v>
      </c>
      <c r="AY22" s="2" t="s">
        <v>247</v>
      </c>
      <c r="BB22" t="s">
        <v>247</v>
      </c>
      <c r="BC22" t="s">
        <v>248</v>
      </c>
      <c r="BD22" t="s">
        <v>60</v>
      </c>
      <c r="BE22" t="s">
        <v>202</v>
      </c>
      <c r="BF22" t="s">
        <v>249</v>
      </c>
      <c r="BG22" t="s">
        <v>250</v>
      </c>
      <c r="BH22" t="s">
        <v>88</v>
      </c>
      <c r="BJ22" s="1">
        <v>7</v>
      </c>
      <c r="BK22" s="1">
        <v>4</v>
      </c>
      <c r="BL22" s="1">
        <v>4</v>
      </c>
      <c r="BM22" s="1">
        <v>0</v>
      </c>
      <c r="BN22" s="1">
        <v>7</v>
      </c>
      <c r="BO22"/>
    </row>
    <row r="23" spans="2:67" x14ac:dyDescent="0.55000000000000004">
      <c r="B23" t="s">
        <v>206</v>
      </c>
      <c r="C23" t="s">
        <v>69</v>
      </c>
      <c r="D23" t="s">
        <v>70</v>
      </c>
      <c r="E23" t="s">
        <v>71</v>
      </c>
      <c r="F23" s="4">
        <v>32</v>
      </c>
      <c r="G23" t="s">
        <v>251</v>
      </c>
      <c r="H2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23" s="1">
        <f>(Tabella15[[#This Row],[ALL5]]+Tabella15[[#This Row],[ALL6]]+Tabella15[[#This Row],[ALL22]]+Tabella15[[#This Row],[ALL32]]+Tabella15[[#This Row],[ALL7]]+Tabella15[[#This Row],[ALL8]])</f>
        <v>1</v>
      </c>
      <c r="K23" s="1"/>
      <c r="L23" s="1"/>
      <c r="M23" s="21">
        <f>Tabella15[[#This Row],[IOT SPECFIC]]+Tabella15[[#This Row],[MBSE]]+Tabella15[[#This Row],[NEW MODEL]]</f>
        <v>0</v>
      </c>
      <c r="N23" s="21">
        <f>IF(Tabella15[[#This Row],[ALL]]&gt;0,1,0)</f>
        <v>0</v>
      </c>
      <c r="O23" s="1">
        <v>3</v>
      </c>
      <c r="P23" s="21">
        <f>IF(Tabella15[[#This Row],[DEPLOYMENT]]&gt;0,1,0)</f>
        <v>1</v>
      </c>
      <c r="Q23" s="1"/>
      <c r="R23" s="1"/>
      <c r="S23" s="1"/>
      <c r="T23" s="21">
        <f>Tabella15[[#This Row],[issues]]+Tabella15[[#This Row],[High Level]]+Tabella15[[#This Row],[ORCHESTRATION]]</f>
        <v>0</v>
      </c>
      <c r="U23" s="21">
        <f>IF(Tabella15[[#This Row],[ALL2]]&gt;0,1,0)</f>
        <v>0</v>
      </c>
      <c r="V23" s="1"/>
      <c r="W23" s="1"/>
      <c r="X23" s="1"/>
      <c r="Y23" s="21">
        <f>Tabella15[[#This Row],[Logginh]]+Tabella15[[#This Row],[Monitoring]]+Tabella15[[#This Row],[Performance]]</f>
        <v>0</v>
      </c>
      <c r="Z23" s="21">
        <f>IF(Tabella15[[#This Row],[ALL3]]&gt;0,1,0)</f>
        <v>0</v>
      </c>
      <c r="AA23" s="1"/>
      <c r="AB23" s="21">
        <f>IF(Tabella15[[#This Row],[TESTING]]&gt;0,1,0)</f>
        <v>0</v>
      </c>
      <c r="AC23" s="1"/>
      <c r="AD23" s="1"/>
      <c r="AE23" s="1"/>
      <c r="AF23" s="1"/>
      <c r="AG23" s="1"/>
      <c r="AH23" s="21">
        <f>Tabella15[[#This Row],[PRIVACY]]+Tabella15[[#This Row],[MATURITY MODEL]]+Tabella15[[#This Row],[ADDITIONAL]]+Tabella15[[#This Row],[DEVSECOPS]]+Tabella15[[#This Row],[SECURITY]]</f>
        <v>0</v>
      </c>
      <c r="AI23" s="21">
        <f>IF(Tabella15[[#This Row],[ALL4]]&gt;0,1,0)</f>
        <v>0</v>
      </c>
      <c r="AJ23" s="1">
        <v>-1</v>
      </c>
      <c r="AK23" s="1">
        <v>14</v>
      </c>
      <c r="AL23" s="1">
        <f>(Tabella15[[#This Row],[ALL5]]+Tabella15[[#This Row],[ALL6]]+Tabella15[[#This Row],[ALL22]]+Tabella15[[#This Row],[ALL32]]+Tabella15[[#This Row],[ALL7]]+Tabella15[[#This Row],[ALL8]])*Tabella15[[#This Row],[Citazioni distinte]]</f>
        <v>14</v>
      </c>
      <c r="AM23" s="1">
        <f>(Tabella15[[#This Row],[ALL5]]+Tabella15[[#This Row],[ALL6]]+Tabella15[[#This Row],[ALL22]]+Tabella15[[#This Row],[ALL32]]+Tabella15[[#This Row],[ALL7]]+Tabella15[[#This Row],[ALL8]])*Tabella15[[#This Row],[PUNTO]]</f>
        <v>2.31</v>
      </c>
      <c r="AN23" s="6">
        <v>112</v>
      </c>
      <c r="AO23" s="1">
        <v>6</v>
      </c>
      <c r="AP23" s="1" t="s">
        <v>74</v>
      </c>
      <c r="AQ23" s="1" t="s">
        <v>74</v>
      </c>
      <c r="AR23" s="1" t="s">
        <v>74</v>
      </c>
      <c r="AS23" s="1" t="s">
        <v>75</v>
      </c>
      <c r="AT23" s="1" t="s">
        <v>77</v>
      </c>
      <c r="AU23" s="1" t="s">
        <v>77</v>
      </c>
      <c r="AV23" t="s">
        <v>252</v>
      </c>
      <c r="AW23">
        <v>2018</v>
      </c>
      <c r="AX23" t="s">
        <v>253</v>
      </c>
      <c r="AY23" s="2" t="s">
        <v>254</v>
      </c>
      <c r="BB23" t="s">
        <v>254</v>
      </c>
      <c r="BC23" t="s">
        <v>255</v>
      </c>
      <c r="BD23" t="s">
        <v>60</v>
      </c>
      <c r="BE23" t="s">
        <v>256</v>
      </c>
      <c r="BF23" t="s">
        <v>257</v>
      </c>
      <c r="BG23" t="s">
        <v>258</v>
      </c>
      <c r="BH23" t="s">
        <v>88</v>
      </c>
      <c r="BJ23" s="1">
        <v>14</v>
      </c>
      <c r="BK23" s="1">
        <v>9</v>
      </c>
      <c r="BL23" s="1">
        <v>10</v>
      </c>
      <c r="BM23" s="1">
        <v>0</v>
      </c>
      <c r="BN23" s="1">
        <v>14</v>
      </c>
      <c r="BO23"/>
    </row>
    <row r="24" spans="2:67" x14ac:dyDescent="0.55000000000000004">
      <c r="B24" t="s">
        <v>68</v>
      </c>
      <c r="C24" t="s">
        <v>69</v>
      </c>
      <c r="D24" t="s">
        <v>232</v>
      </c>
      <c r="E24" t="s">
        <v>71</v>
      </c>
      <c r="F24" s="4">
        <v>34</v>
      </c>
      <c r="G24" t="s">
        <v>259</v>
      </c>
      <c r="H2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24" s="1">
        <f>(Tabella15[[#This Row],[ALL5]]+Tabella15[[#This Row],[ALL6]]+Tabella15[[#This Row],[ALL22]]+Tabella15[[#This Row],[ALL32]]+Tabella15[[#This Row],[ALL7]]+Tabella15[[#This Row],[ALL8]])</f>
        <v>1</v>
      </c>
      <c r="K24" s="1"/>
      <c r="L24" s="1"/>
      <c r="M24" s="21">
        <f>Tabella15[[#This Row],[IOT SPECFIC]]+Tabella15[[#This Row],[MBSE]]+Tabella15[[#This Row],[NEW MODEL]]</f>
        <v>0</v>
      </c>
      <c r="N24" s="21">
        <f>IF(Tabella15[[#This Row],[ALL]]&gt;0,1,0)</f>
        <v>0</v>
      </c>
      <c r="O24" s="1"/>
      <c r="P24" s="21">
        <f>IF(Tabella15[[#This Row],[DEPLOYMENT]]&gt;0,1,0)</f>
        <v>0</v>
      </c>
      <c r="Q24" s="1">
        <v>1</v>
      </c>
      <c r="R24" s="1"/>
      <c r="S24" s="1"/>
      <c r="T24" s="21">
        <f>Tabella15[[#This Row],[issues]]+Tabella15[[#This Row],[High Level]]+Tabella15[[#This Row],[ORCHESTRATION]]</f>
        <v>1</v>
      </c>
      <c r="U24" s="21">
        <f>IF(Tabella15[[#This Row],[ALL2]]&gt;0,1,0)</f>
        <v>1</v>
      </c>
      <c r="V24" s="1"/>
      <c r="W24" s="1"/>
      <c r="X24" s="1"/>
      <c r="Y24" s="21">
        <f>Tabella15[[#This Row],[Logginh]]+Tabella15[[#This Row],[Monitoring]]+Tabella15[[#This Row],[Performance]]</f>
        <v>0</v>
      </c>
      <c r="Z24" s="21">
        <f>IF(Tabella15[[#This Row],[ALL3]]&gt;0,1,0)</f>
        <v>0</v>
      </c>
      <c r="AA24" s="1"/>
      <c r="AB24" s="21">
        <f>IF(Tabella15[[#This Row],[TESTING]]&gt;0,1,0)</f>
        <v>0</v>
      </c>
      <c r="AC24" s="1"/>
      <c r="AD24" s="1"/>
      <c r="AE24" s="1"/>
      <c r="AF24" s="1"/>
      <c r="AG24" s="1"/>
      <c r="AH24" s="21">
        <f>Tabella15[[#This Row],[PRIVACY]]+Tabella15[[#This Row],[MATURITY MODEL]]+Tabella15[[#This Row],[ADDITIONAL]]+Tabella15[[#This Row],[DEVSECOPS]]+Tabella15[[#This Row],[SECURITY]]</f>
        <v>0</v>
      </c>
      <c r="AI24" s="21">
        <f>IF(Tabella15[[#This Row],[ALL4]]&gt;0,1,0)</f>
        <v>0</v>
      </c>
      <c r="AJ24" s="1">
        <v>-1</v>
      </c>
      <c r="AK24" s="1">
        <v>12</v>
      </c>
      <c r="AL24" s="1">
        <f>(Tabella15[[#This Row],[ALL5]]+Tabella15[[#This Row],[ALL6]]+Tabella15[[#This Row],[ALL22]]+Tabella15[[#This Row],[ALL32]]+Tabella15[[#This Row],[ALL7]]+Tabella15[[#This Row],[ALL8]])*Tabella15[[#This Row],[Citazioni distinte]]</f>
        <v>12</v>
      </c>
      <c r="AM24" s="1">
        <f>(Tabella15[[#This Row],[ALL5]]+Tabella15[[#This Row],[ALL6]]+Tabella15[[#This Row],[ALL22]]+Tabella15[[#This Row],[ALL32]]+Tabella15[[#This Row],[ALL7]]+Tabella15[[#This Row],[ALL8]])*Tabella15[[#This Row],[PUNTO]]</f>
        <v>1.32</v>
      </c>
      <c r="AN24" s="6" t="s">
        <v>71</v>
      </c>
      <c r="AO24" s="1">
        <v>4</v>
      </c>
      <c r="AP24" s="8" t="s">
        <v>75</v>
      </c>
      <c r="AQ24" s="8" t="s">
        <v>75</v>
      </c>
      <c r="AR24" s="8" t="s">
        <v>75</v>
      </c>
      <c r="AS24" s="1" t="s">
        <v>75</v>
      </c>
      <c r="AT24" s="1" t="s">
        <v>76</v>
      </c>
      <c r="AU24" s="1" t="s">
        <v>77</v>
      </c>
      <c r="AV24" t="s">
        <v>260</v>
      </c>
      <c r="AW24">
        <v>2019</v>
      </c>
      <c r="AX24" t="s">
        <v>261</v>
      </c>
      <c r="AY24" s="2" t="s">
        <v>262</v>
      </c>
      <c r="AZ24" t="s">
        <v>263</v>
      </c>
      <c r="BA24" t="s">
        <v>264</v>
      </c>
      <c r="BC24" t="s">
        <v>265</v>
      </c>
      <c r="BD24" t="s">
        <v>60</v>
      </c>
      <c r="BE24" t="s">
        <v>131</v>
      </c>
      <c r="BF24" t="s">
        <v>267</v>
      </c>
      <c r="BG24" t="s">
        <v>268</v>
      </c>
      <c r="BH24" t="s">
        <v>269</v>
      </c>
      <c r="BI24" t="s">
        <v>266</v>
      </c>
      <c r="BJ24" s="1">
        <v>1</v>
      </c>
      <c r="BK24" s="1">
        <v>7</v>
      </c>
      <c r="BL24" s="1">
        <v>8</v>
      </c>
      <c r="BM24" s="1">
        <v>0</v>
      </c>
      <c r="BN24" s="1">
        <v>12</v>
      </c>
      <c r="BO24"/>
    </row>
    <row r="25" spans="2:67" x14ac:dyDescent="0.55000000000000004">
      <c r="B25" t="s">
        <v>68</v>
      </c>
      <c r="C25" t="s">
        <v>69</v>
      </c>
      <c r="D25" t="s">
        <v>85</v>
      </c>
      <c r="E25" t="s">
        <v>71</v>
      </c>
      <c r="F25" s="4">
        <v>35</v>
      </c>
      <c r="G25" t="s">
        <v>270</v>
      </c>
      <c r="H2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1.6500000000000001</v>
      </c>
      <c r="I25" s="1">
        <f>(Tabella15[[#This Row],[ALL5]]+Tabella15[[#This Row],[ALL6]]+Tabella15[[#This Row],[ALL22]]+Tabella15[[#This Row],[ALL32]]+Tabella15[[#This Row],[ALL7]]+Tabella15[[#This Row],[ALL8]])</f>
        <v>1</v>
      </c>
      <c r="K25" s="1"/>
      <c r="L25" s="1"/>
      <c r="M25" s="21">
        <f>Tabella15[[#This Row],[IOT SPECFIC]]+Tabella15[[#This Row],[MBSE]]+Tabella15[[#This Row],[NEW MODEL]]</f>
        <v>0</v>
      </c>
      <c r="N25" s="21">
        <f>IF(Tabella15[[#This Row],[ALL]]&gt;0,1,0)</f>
        <v>0</v>
      </c>
      <c r="O25" s="1">
        <v>2</v>
      </c>
      <c r="P25" s="21">
        <f>IF(Tabella15[[#This Row],[DEPLOYMENT]]&gt;0,1,0)</f>
        <v>1</v>
      </c>
      <c r="Q25" s="1"/>
      <c r="R25" s="1"/>
      <c r="S25" s="1"/>
      <c r="T25" s="21">
        <f>Tabella15[[#This Row],[issues]]+Tabella15[[#This Row],[High Level]]+Tabella15[[#This Row],[ORCHESTRATION]]</f>
        <v>0</v>
      </c>
      <c r="U25" s="21">
        <f>IF(Tabella15[[#This Row],[ALL2]]&gt;0,1,0)</f>
        <v>0</v>
      </c>
      <c r="V25" s="1"/>
      <c r="W25" s="1"/>
      <c r="X25" s="1"/>
      <c r="Y25" s="21">
        <f>Tabella15[[#This Row],[Logginh]]+Tabella15[[#This Row],[Monitoring]]+Tabella15[[#This Row],[Performance]]</f>
        <v>0</v>
      </c>
      <c r="Z25" s="21">
        <f>IF(Tabella15[[#This Row],[ALL3]]&gt;0,1,0)</f>
        <v>0</v>
      </c>
      <c r="AA25" s="1"/>
      <c r="AB25" s="21">
        <f>IF(Tabella15[[#This Row],[TESTING]]&gt;0,1,0)</f>
        <v>0</v>
      </c>
      <c r="AC25" s="1"/>
      <c r="AD25" s="1"/>
      <c r="AE25" s="1"/>
      <c r="AF25" s="1"/>
      <c r="AG25" s="1"/>
      <c r="AH25" s="21">
        <f>Tabella15[[#This Row],[PRIVACY]]+Tabella15[[#This Row],[MATURITY MODEL]]+Tabella15[[#This Row],[ADDITIONAL]]+Tabella15[[#This Row],[DEVSECOPS]]+Tabella15[[#This Row],[SECURITY]]</f>
        <v>0</v>
      </c>
      <c r="AI25" s="21">
        <f>IF(Tabella15[[#This Row],[ALL4]]&gt;0,1,0)</f>
        <v>0</v>
      </c>
      <c r="AJ25" s="1"/>
      <c r="AK25" s="1">
        <v>10</v>
      </c>
      <c r="AL25" s="1">
        <f>(Tabella15[[#This Row],[ALL5]]+Tabella15[[#This Row],[ALL6]]+Tabella15[[#This Row],[ALL22]]+Tabella15[[#This Row],[ALL32]]+Tabella15[[#This Row],[ALL7]]+Tabella15[[#This Row],[ALL8]])*Tabella15[[#This Row],[Citazioni distinte]]</f>
        <v>10</v>
      </c>
      <c r="AM25" s="1">
        <f>(Tabella15[[#This Row],[ALL5]]+Tabella15[[#This Row],[ALL6]]+Tabella15[[#This Row],[ALL22]]+Tabella15[[#This Row],[ALL32]]+Tabella15[[#This Row],[ALL7]]+Tabella15[[#This Row],[ALL8]])*Tabella15[[#This Row],[PUNTO]]</f>
        <v>1.6500000000000001</v>
      </c>
      <c r="AN25" s="6" t="s">
        <v>102</v>
      </c>
      <c r="AO25" s="1">
        <v>6</v>
      </c>
      <c r="AP25" s="1" t="s">
        <v>74</v>
      </c>
      <c r="AQ25" s="1" t="s">
        <v>75</v>
      </c>
      <c r="AR25" s="1" t="s">
        <v>75</v>
      </c>
      <c r="AS25" s="1" t="s">
        <v>75</v>
      </c>
      <c r="AT25" s="1" t="s">
        <v>76</v>
      </c>
      <c r="AU25" s="1" t="s">
        <v>77</v>
      </c>
      <c r="AV25" t="s">
        <v>271</v>
      </c>
      <c r="AW25">
        <v>2021</v>
      </c>
      <c r="AY25" s="2" t="s">
        <v>272</v>
      </c>
      <c r="AZ25" t="s">
        <v>273</v>
      </c>
      <c r="BC25" t="s">
        <v>274</v>
      </c>
      <c r="BD25" t="s">
        <v>60</v>
      </c>
      <c r="BE25" t="s">
        <v>85</v>
      </c>
      <c r="BF25" t="s">
        <v>276</v>
      </c>
      <c r="BG25" t="s">
        <v>277</v>
      </c>
      <c r="BH25" t="s">
        <v>278</v>
      </c>
      <c r="BI25" t="s">
        <v>275</v>
      </c>
      <c r="BJ25" s="1">
        <v>9</v>
      </c>
      <c r="BK25" s="1">
        <v>5</v>
      </c>
      <c r="BL25" s="1">
        <v>9</v>
      </c>
      <c r="BM25" s="1">
        <v>0</v>
      </c>
      <c r="BN25" s="1">
        <v>10</v>
      </c>
      <c r="BO25"/>
    </row>
    <row r="26" spans="2:67" x14ac:dyDescent="0.55000000000000004">
      <c r="B26" t="s">
        <v>122</v>
      </c>
      <c r="C26" t="s">
        <v>123</v>
      </c>
      <c r="D26" t="s">
        <v>89</v>
      </c>
      <c r="E26" t="s">
        <v>71</v>
      </c>
      <c r="F26" s="4">
        <v>36</v>
      </c>
      <c r="G26" t="s">
        <v>279</v>
      </c>
      <c r="H2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26" s="1">
        <f>(Tabella15[[#This Row],[ALL5]]+Tabella15[[#This Row],[ALL6]]+Tabella15[[#This Row],[ALL22]]+Tabella15[[#This Row],[ALL32]]+Tabella15[[#This Row],[ALL7]]+Tabella15[[#This Row],[ALL8]])</f>
        <v>1</v>
      </c>
      <c r="K26" s="1"/>
      <c r="L26" s="1"/>
      <c r="M26" s="21">
        <f>Tabella15[[#This Row],[IOT SPECFIC]]+Tabella15[[#This Row],[MBSE]]+Tabella15[[#This Row],[NEW MODEL]]</f>
        <v>0</v>
      </c>
      <c r="N26" s="21">
        <f>IF(Tabella15[[#This Row],[ALL]]&gt;0,1,0)</f>
        <v>0</v>
      </c>
      <c r="O26" s="1"/>
      <c r="P26" s="21">
        <f>IF(Tabella15[[#This Row],[DEPLOYMENT]]&gt;0,1,0)</f>
        <v>0</v>
      </c>
      <c r="Q26" s="1"/>
      <c r="R26" s="1"/>
      <c r="S26" s="1"/>
      <c r="T26" s="21">
        <f>Tabella15[[#This Row],[issues]]+Tabella15[[#This Row],[High Level]]+Tabella15[[#This Row],[ORCHESTRATION]]</f>
        <v>0</v>
      </c>
      <c r="U26" s="21">
        <f>IF(Tabella15[[#This Row],[ALL2]]&gt;0,1,0)</f>
        <v>0</v>
      </c>
      <c r="V26" s="1"/>
      <c r="W26" s="1">
        <v>1</v>
      </c>
      <c r="X26" s="1"/>
      <c r="Y26" s="21">
        <f>Tabella15[[#This Row],[Logginh]]+Tabella15[[#This Row],[Monitoring]]+Tabella15[[#This Row],[Performance]]</f>
        <v>1</v>
      </c>
      <c r="Z26" s="21">
        <f>IF(Tabella15[[#This Row],[ALL3]]&gt;0,1,0)</f>
        <v>1</v>
      </c>
      <c r="AA26" s="1"/>
      <c r="AB26" s="21">
        <f>IF(Tabella15[[#This Row],[TESTING]]&gt;0,1,0)</f>
        <v>0</v>
      </c>
      <c r="AC26" s="1"/>
      <c r="AD26" s="1"/>
      <c r="AE26" s="1"/>
      <c r="AF26" s="1"/>
      <c r="AG26" s="1"/>
      <c r="AH26" s="21">
        <f>Tabella15[[#This Row],[PRIVACY]]+Tabella15[[#This Row],[MATURITY MODEL]]+Tabella15[[#This Row],[ADDITIONAL]]+Tabella15[[#This Row],[DEVSECOPS]]+Tabella15[[#This Row],[SECURITY]]</f>
        <v>0</v>
      </c>
      <c r="AI26" s="21">
        <f>IF(Tabella15[[#This Row],[ALL4]]&gt;0,1,0)</f>
        <v>0</v>
      </c>
      <c r="AJ26" s="1"/>
      <c r="AK26" s="1">
        <v>2</v>
      </c>
      <c r="AL26" s="1">
        <f>(Tabella15[[#This Row],[ALL5]]+Tabella15[[#This Row],[ALL6]]+Tabella15[[#This Row],[ALL22]]+Tabella15[[#This Row],[ALL32]]+Tabella15[[#This Row],[ALL7]]+Tabella15[[#This Row],[ALL8]])*Tabella15[[#This Row],[Citazioni distinte]]</f>
        <v>2</v>
      </c>
      <c r="AM26" s="1">
        <f>(Tabella15[[#This Row],[ALL5]]+Tabella15[[#This Row],[ALL6]]+Tabella15[[#This Row],[ALL22]]+Tabella15[[#This Row],[ALL32]]+Tabella15[[#This Row],[ALL7]]+Tabella15[[#This Row],[ALL8]])*Tabella15[[#This Row],[PUNTO]]</f>
        <v>2.99</v>
      </c>
      <c r="AN26" s="6" t="s">
        <v>73</v>
      </c>
      <c r="AO26" s="1">
        <v>17</v>
      </c>
      <c r="AP26" s="1" t="s">
        <v>102</v>
      </c>
      <c r="AQ26" s="1" t="s">
        <v>102</v>
      </c>
      <c r="AR26" s="1" t="s">
        <v>74</v>
      </c>
      <c r="AS26" s="1" t="s">
        <v>75</v>
      </c>
      <c r="AT26" s="1" t="s">
        <v>77</v>
      </c>
      <c r="AU26" s="1" t="s">
        <v>77</v>
      </c>
      <c r="AV26" t="s">
        <v>280</v>
      </c>
      <c r="AW26">
        <v>2020</v>
      </c>
      <c r="AX26" t="s">
        <v>281</v>
      </c>
      <c r="AY26" s="2" t="s">
        <v>282</v>
      </c>
      <c r="AZ26" t="s">
        <v>283</v>
      </c>
      <c r="BB26" t="s">
        <v>284</v>
      </c>
      <c r="BE26" t="s">
        <v>213</v>
      </c>
      <c r="BF26" t="s">
        <v>286</v>
      </c>
      <c r="BG26" t="s">
        <v>287</v>
      </c>
      <c r="BH26" t="s">
        <v>88</v>
      </c>
      <c r="BI26" t="s">
        <v>285</v>
      </c>
      <c r="BJ26" s="1">
        <v>2</v>
      </c>
      <c r="BK26" s="1">
        <v>0</v>
      </c>
      <c r="BL26" s="1">
        <v>0</v>
      </c>
      <c r="BM26" s="1">
        <v>0</v>
      </c>
      <c r="BN26" s="1">
        <v>2</v>
      </c>
      <c r="BO26"/>
    </row>
    <row r="27" spans="2:67" x14ac:dyDescent="0.55000000000000004">
      <c r="B27" t="s">
        <v>68</v>
      </c>
      <c r="C27" t="s">
        <v>69</v>
      </c>
      <c r="D27" t="s">
        <v>232</v>
      </c>
      <c r="E27" t="s">
        <v>71</v>
      </c>
      <c r="F27" s="4">
        <v>38</v>
      </c>
      <c r="G27" t="s">
        <v>288</v>
      </c>
      <c r="H2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27" s="1">
        <f>(Tabella15[[#This Row],[ALL5]]+Tabella15[[#This Row],[ALL6]]+Tabella15[[#This Row],[ALL22]]+Tabella15[[#This Row],[ALL32]]+Tabella15[[#This Row],[ALL7]]+Tabella15[[#This Row],[ALL8]])</f>
        <v>2</v>
      </c>
      <c r="K27" s="1"/>
      <c r="L27" s="1"/>
      <c r="M27" s="21">
        <f>Tabella15[[#This Row],[IOT SPECFIC]]+Tabella15[[#This Row],[MBSE]]+Tabella15[[#This Row],[NEW MODEL]]</f>
        <v>0</v>
      </c>
      <c r="N27" s="21">
        <f>IF(Tabella15[[#This Row],[ALL]]&gt;0,1,0)</f>
        <v>0</v>
      </c>
      <c r="O27" s="1">
        <v>3</v>
      </c>
      <c r="P27" s="21">
        <f>IF(Tabella15[[#This Row],[DEPLOYMENT]]&gt;0,1,0)</f>
        <v>1</v>
      </c>
      <c r="Q27" s="1"/>
      <c r="R27" s="1"/>
      <c r="S27" s="1">
        <v>2</v>
      </c>
      <c r="T27" s="21">
        <f>Tabella15[[#This Row],[issues]]+Tabella15[[#This Row],[High Level]]+Tabella15[[#This Row],[ORCHESTRATION]]</f>
        <v>2</v>
      </c>
      <c r="U27" s="21">
        <f>IF(Tabella15[[#This Row],[ALL2]]&gt;0,1,0)</f>
        <v>1</v>
      </c>
      <c r="V27" s="1"/>
      <c r="W27" s="1"/>
      <c r="X27" s="1"/>
      <c r="Y27" s="21">
        <f>Tabella15[[#This Row],[Logginh]]+Tabella15[[#This Row],[Monitoring]]+Tabella15[[#This Row],[Performance]]</f>
        <v>0</v>
      </c>
      <c r="Z27" s="21">
        <f>IF(Tabella15[[#This Row],[ALL3]]&gt;0,1,0)</f>
        <v>0</v>
      </c>
      <c r="AA27" s="1"/>
      <c r="AB27" s="21">
        <f>IF(Tabella15[[#This Row],[TESTING]]&gt;0,1,0)</f>
        <v>0</v>
      </c>
      <c r="AC27" s="1"/>
      <c r="AD27" s="1"/>
      <c r="AE27" s="1"/>
      <c r="AF27" s="1"/>
      <c r="AG27" s="1"/>
      <c r="AH27" s="21">
        <f>Tabella15[[#This Row],[PRIVACY]]+Tabella15[[#This Row],[MATURITY MODEL]]+Tabella15[[#This Row],[ADDITIONAL]]+Tabella15[[#This Row],[DEVSECOPS]]+Tabella15[[#This Row],[SECURITY]]</f>
        <v>0</v>
      </c>
      <c r="AI27" s="21">
        <f>IF(Tabella15[[#This Row],[ALL4]]&gt;0,1,0)</f>
        <v>0</v>
      </c>
      <c r="AJ27" s="1"/>
      <c r="AK27" s="1">
        <v>2</v>
      </c>
      <c r="AL27" s="1">
        <f>(Tabella15[[#This Row],[ALL5]]+Tabella15[[#This Row],[ALL6]]+Tabella15[[#This Row],[ALL22]]+Tabella15[[#This Row],[ALL32]]+Tabella15[[#This Row],[ALL7]]+Tabella15[[#This Row],[ALL8]])*Tabella15[[#This Row],[Citazioni distinte]]</f>
        <v>4</v>
      </c>
      <c r="AM27" s="1">
        <f>(Tabella15[[#This Row],[ALL5]]+Tabella15[[#This Row],[ALL6]]+Tabella15[[#This Row],[ALL22]]+Tabella15[[#This Row],[ALL32]]+Tabella15[[#This Row],[ALL7]]+Tabella15[[#This Row],[ALL8]])*Tabella15[[#This Row],[PUNTO]]</f>
        <v>2.64</v>
      </c>
      <c r="AN27" s="6" t="s">
        <v>73</v>
      </c>
      <c r="AO27" s="1">
        <v>4</v>
      </c>
      <c r="AP27" s="1" t="s">
        <v>75</v>
      </c>
      <c r="AQ27" s="1" t="s">
        <v>75</v>
      </c>
      <c r="AR27" s="1" t="s">
        <v>75</v>
      </c>
      <c r="AS27" s="1" t="s">
        <v>75</v>
      </c>
      <c r="AT27" s="1" t="s">
        <v>76</v>
      </c>
      <c r="AU27" s="1" t="s">
        <v>77</v>
      </c>
      <c r="AV27" t="s">
        <v>289</v>
      </c>
      <c r="AW27">
        <v>2020</v>
      </c>
      <c r="AX27" t="s">
        <v>290</v>
      </c>
      <c r="AY27" s="2" t="s">
        <v>291</v>
      </c>
      <c r="AZ27" t="s">
        <v>292</v>
      </c>
      <c r="BA27" t="s">
        <v>293</v>
      </c>
      <c r="BC27" t="s">
        <v>294</v>
      </c>
      <c r="BD27" t="s">
        <v>60</v>
      </c>
      <c r="BE27" t="s">
        <v>131</v>
      </c>
      <c r="BF27" t="s">
        <v>296</v>
      </c>
      <c r="BG27" t="s">
        <v>297</v>
      </c>
      <c r="BH27" t="s">
        <v>298</v>
      </c>
      <c r="BI27" t="s">
        <v>295</v>
      </c>
      <c r="BJ27" s="1">
        <v>2</v>
      </c>
      <c r="BK27" s="1">
        <v>0</v>
      </c>
      <c r="BL27" s="1">
        <v>0</v>
      </c>
      <c r="BM27" s="1">
        <v>0</v>
      </c>
      <c r="BN27" s="1">
        <v>2</v>
      </c>
      <c r="BO27"/>
    </row>
    <row r="28" spans="2:67" x14ac:dyDescent="0.55000000000000004">
      <c r="B28" t="s">
        <v>122</v>
      </c>
      <c r="C28" t="s">
        <v>123</v>
      </c>
      <c r="D28" t="s">
        <v>196</v>
      </c>
      <c r="E28" t="s">
        <v>73</v>
      </c>
      <c r="F28" s="4">
        <v>39</v>
      </c>
      <c r="G28" t="s">
        <v>299</v>
      </c>
      <c r="H2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28" s="1">
        <f>(Tabella15[[#This Row],[ALL5]]+Tabella15[[#This Row],[ALL6]]+Tabella15[[#This Row],[ALL22]]+Tabella15[[#This Row],[ALL32]]+Tabella15[[#This Row],[ALL7]]+Tabella15[[#This Row],[ALL8]])</f>
        <v>3</v>
      </c>
      <c r="K28" s="1"/>
      <c r="L28" s="1"/>
      <c r="M28" s="21">
        <f>Tabella15[[#This Row],[IOT SPECFIC]]+Tabella15[[#This Row],[MBSE]]+Tabella15[[#This Row],[NEW MODEL]]</f>
        <v>0</v>
      </c>
      <c r="N28" s="21">
        <f>IF(Tabella15[[#This Row],[ALL]]&gt;0,1,0)</f>
        <v>0</v>
      </c>
      <c r="O28" s="1">
        <v>3</v>
      </c>
      <c r="P28" s="21">
        <f>IF(Tabella15[[#This Row],[DEPLOYMENT]]&gt;0,1,0)</f>
        <v>1</v>
      </c>
      <c r="Q28" s="1"/>
      <c r="R28" s="1"/>
      <c r="S28" s="1">
        <v>1</v>
      </c>
      <c r="T28" s="21">
        <f>Tabella15[[#This Row],[issues]]+Tabella15[[#This Row],[High Level]]+Tabella15[[#This Row],[ORCHESTRATION]]</f>
        <v>1</v>
      </c>
      <c r="U28" s="21">
        <f>IF(Tabella15[[#This Row],[ALL2]]&gt;0,1,0)</f>
        <v>1</v>
      </c>
      <c r="V28" s="1"/>
      <c r="W28" s="1"/>
      <c r="X28" s="1"/>
      <c r="Y28" s="21">
        <f>Tabella15[[#This Row],[Logginh]]+Tabella15[[#This Row],[Monitoring]]+Tabella15[[#This Row],[Performance]]</f>
        <v>0</v>
      </c>
      <c r="Z28" s="21">
        <f>IF(Tabella15[[#This Row],[ALL3]]&gt;0,1,0)</f>
        <v>0</v>
      </c>
      <c r="AA28" s="1">
        <v>1</v>
      </c>
      <c r="AB28" s="21">
        <f>IF(Tabella15[[#This Row],[TESTING]]&gt;0,1,0)</f>
        <v>1</v>
      </c>
      <c r="AC28" s="1"/>
      <c r="AD28" s="1"/>
      <c r="AE28" s="1"/>
      <c r="AF28" s="1"/>
      <c r="AG28" s="1"/>
      <c r="AH28" s="21">
        <f>Tabella15[[#This Row],[PRIVACY]]+Tabella15[[#This Row],[MATURITY MODEL]]+Tabella15[[#This Row],[ADDITIONAL]]+Tabella15[[#This Row],[DEVSECOPS]]+Tabella15[[#This Row],[SECURITY]]</f>
        <v>0</v>
      </c>
      <c r="AI28" s="21">
        <f>IF(Tabella15[[#This Row],[ALL4]]&gt;0,1,0)</f>
        <v>0</v>
      </c>
      <c r="AJ28" s="1"/>
      <c r="AK28" s="1">
        <v>4</v>
      </c>
      <c r="AL28" s="1">
        <f>(Tabella15[[#This Row],[ALL5]]+Tabella15[[#This Row],[ALL6]]+Tabella15[[#This Row],[ALL22]]+Tabella15[[#This Row],[ALL32]]+Tabella15[[#This Row],[ALL7]]+Tabella15[[#This Row],[ALL8]])*Tabella15[[#This Row],[Citazioni distinte]]</f>
        <v>12</v>
      </c>
      <c r="AM28" s="1">
        <f>(Tabella15[[#This Row],[ALL5]]+Tabella15[[#This Row],[ALL6]]+Tabella15[[#This Row],[ALL22]]+Tabella15[[#This Row],[ALL32]]+Tabella15[[#This Row],[ALL7]]+Tabella15[[#This Row],[ALL8]])*Tabella15[[#This Row],[PUNTO]]</f>
        <v>12</v>
      </c>
      <c r="AN28" s="6" t="s">
        <v>102</v>
      </c>
      <c r="AO28" s="1">
        <v>31</v>
      </c>
      <c r="AP28" s="1" t="s">
        <v>102</v>
      </c>
      <c r="AQ28" s="1" t="s">
        <v>102</v>
      </c>
      <c r="AR28" s="1" t="s">
        <v>102</v>
      </c>
      <c r="AS28" s="1" t="s">
        <v>102</v>
      </c>
      <c r="AT28" s="1" t="s">
        <v>77</v>
      </c>
      <c r="AU28" s="1" t="s">
        <v>77</v>
      </c>
      <c r="AV28" t="s">
        <v>300</v>
      </c>
      <c r="AW28">
        <v>2024</v>
      </c>
      <c r="AX28" t="s">
        <v>301</v>
      </c>
      <c r="AZ28" t="s">
        <v>302</v>
      </c>
      <c r="BB28" t="s">
        <v>303</v>
      </c>
      <c r="BE28" t="s">
        <v>202</v>
      </c>
      <c r="BF28" t="s">
        <v>305</v>
      </c>
      <c r="BG28" t="s">
        <v>306</v>
      </c>
      <c r="BH28" t="s">
        <v>88</v>
      </c>
      <c r="BI28" t="s">
        <v>304</v>
      </c>
      <c r="BJ28" s="1">
        <v>3</v>
      </c>
      <c r="BK28" s="1">
        <v>0</v>
      </c>
      <c r="BL28" s="1">
        <v>3</v>
      </c>
      <c r="BM28" s="1">
        <v>0</v>
      </c>
      <c r="BN28" s="1">
        <v>4</v>
      </c>
      <c r="BO28"/>
    </row>
    <row r="29" spans="2:67" x14ac:dyDescent="0.55000000000000004">
      <c r="B29" t="s">
        <v>68</v>
      </c>
      <c r="C29" t="s">
        <v>69</v>
      </c>
      <c r="D29" t="s">
        <v>100</v>
      </c>
      <c r="E29" t="s">
        <v>73</v>
      </c>
      <c r="F29" s="4">
        <v>40</v>
      </c>
      <c r="G29" t="s">
        <v>307</v>
      </c>
      <c r="H2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29" s="1">
        <f>(Tabella15[[#This Row],[ALL5]]+Tabella15[[#This Row],[ALL6]]+Tabella15[[#This Row],[ALL22]]+Tabella15[[#This Row],[ALL32]]+Tabella15[[#This Row],[ALL7]]+Tabella15[[#This Row],[ALL8]])</f>
        <v>1</v>
      </c>
      <c r="K29" s="1"/>
      <c r="L29" s="1">
        <v>2</v>
      </c>
      <c r="M29" s="21">
        <f>Tabella15[[#This Row],[IOT SPECFIC]]+Tabella15[[#This Row],[MBSE]]+Tabella15[[#This Row],[NEW MODEL]]</f>
        <v>2</v>
      </c>
      <c r="N29" s="21">
        <f>IF(Tabella15[[#This Row],[ALL]]&gt;0,1,0)</f>
        <v>1</v>
      </c>
      <c r="O29" s="1"/>
      <c r="P29" s="21">
        <f>IF(Tabella15[[#This Row],[DEPLOYMENT]]&gt;0,1,0)</f>
        <v>0</v>
      </c>
      <c r="Q29" s="1"/>
      <c r="R29" s="1"/>
      <c r="S29" s="1"/>
      <c r="T29" s="21">
        <f>Tabella15[[#This Row],[issues]]+Tabella15[[#This Row],[High Level]]+Tabella15[[#This Row],[ORCHESTRATION]]</f>
        <v>0</v>
      </c>
      <c r="U29" s="21">
        <f>IF(Tabella15[[#This Row],[ALL2]]&gt;0,1,0)</f>
        <v>0</v>
      </c>
      <c r="V29" s="1"/>
      <c r="W29" s="1"/>
      <c r="X29" s="1"/>
      <c r="Y29" s="21">
        <f>Tabella15[[#This Row],[Logginh]]+Tabella15[[#This Row],[Monitoring]]+Tabella15[[#This Row],[Performance]]</f>
        <v>0</v>
      </c>
      <c r="Z29" s="21">
        <f>IF(Tabella15[[#This Row],[ALL3]]&gt;0,1,0)</f>
        <v>0</v>
      </c>
      <c r="AA29" s="1"/>
      <c r="AB29" s="21">
        <f>IF(Tabella15[[#This Row],[TESTING]]&gt;0,1,0)</f>
        <v>0</v>
      </c>
      <c r="AC29" s="1"/>
      <c r="AD29" s="1"/>
      <c r="AE29" s="1"/>
      <c r="AF29" s="1"/>
      <c r="AG29" s="1"/>
      <c r="AH29" s="21">
        <f>Tabella15[[#This Row],[PRIVACY]]+Tabella15[[#This Row],[MATURITY MODEL]]+Tabella15[[#This Row],[ADDITIONAL]]+Tabella15[[#This Row],[DEVSECOPS]]+Tabella15[[#This Row],[SECURITY]]</f>
        <v>0</v>
      </c>
      <c r="AI29" s="21">
        <f>IF(Tabella15[[#This Row],[ALL4]]&gt;0,1,0)</f>
        <v>0</v>
      </c>
      <c r="AJ29" s="1"/>
      <c r="AK29" s="1">
        <v>7</v>
      </c>
      <c r="AL29" s="1">
        <f>(Tabella15[[#This Row],[ALL5]]+Tabella15[[#This Row],[ALL6]]+Tabella15[[#This Row],[ALL22]]+Tabella15[[#This Row],[ALL32]]+Tabella15[[#This Row],[ALL7]]+Tabella15[[#This Row],[ALL8]])*Tabella15[[#This Row],[Citazioni distinte]]</f>
        <v>7</v>
      </c>
      <c r="AM29" s="1">
        <f>(Tabella15[[#This Row],[ALL5]]+Tabella15[[#This Row],[ALL6]]+Tabella15[[#This Row],[ALL22]]+Tabella15[[#This Row],[ALL32]]+Tabella15[[#This Row],[ALL7]]+Tabella15[[#This Row],[ALL8]])*Tabella15[[#This Row],[PUNTO]]</f>
        <v>1.32</v>
      </c>
      <c r="AN29" s="6" t="s">
        <v>73</v>
      </c>
      <c r="AO29" s="1">
        <v>6</v>
      </c>
      <c r="AP29" s="1" t="s">
        <v>75</v>
      </c>
      <c r="AQ29" s="1" t="s">
        <v>75</v>
      </c>
      <c r="AR29" s="1" t="s">
        <v>75</v>
      </c>
      <c r="AS29" s="1" t="s">
        <v>75</v>
      </c>
      <c r="AT29" s="1" t="s">
        <v>76</v>
      </c>
      <c r="AU29" s="1" t="s">
        <v>77</v>
      </c>
      <c r="AV29" t="s">
        <v>308</v>
      </c>
      <c r="AW29">
        <v>2020</v>
      </c>
      <c r="AX29" t="s">
        <v>309</v>
      </c>
      <c r="AY29" s="2" t="s">
        <v>310</v>
      </c>
      <c r="AZ29" t="s">
        <v>311</v>
      </c>
      <c r="BA29" t="s">
        <v>312</v>
      </c>
      <c r="BC29" t="s">
        <v>313</v>
      </c>
      <c r="BD29" t="s">
        <v>60</v>
      </c>
      <c r="BE29" t="s">
        <v>100</v>
      </c>
      <c r="BF29" t="s">
        <v>315</v>
      </c>
      <c r="BG29" t="s">
        <v>316</v>
      </c>
      <c r="BH29" t="s">
        <v>88</v>
      </c>
      <c r="BI29" t="s">
        <v>314</v>
      </c>
      <c r="BJ29" s="1">
        <v>6</v>
      </c>
      <c r="BK29" s="1">
        <v>7</v>
      </c>
      <c r="BL29" s="1">
        <v>0</v>
      </c>
      <c r="BM29" s="1">
        <v>0</v>
      </c>
      <c r="BN29" s="1">
        <v>7</v>
      </c>
      <c r="BO29"/>
    </row>
    <row r="30" spans="2:67" x14ac:dyDescent="0.55000000000000004">
      <c r="B30" t="s">
        <v>68</v>
      </c>
      <c r="C30" t="s">
        <v>69</v>
      </c>
      <c r="D30" t="s">
        <v>70</v>
      </c>
      <c r="E30" t="s">
        <v>71</v>
      </c>
      <c r="F30" s="4">
        <v>41</v>
      </c>
      <c r="G30" t="s">
        <v>317</v>
      </c>
      <c r="H3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30" s="1">
        <f>(Tabella15[[#This Row],[ALL5]]+Tabella15[[#This Row],[ALL6]]+Tabella15[[#This Row],[ALL22]]+Tabella15[[#This Row],[ALL32]]+Tabella15[[#This Row],[ALL7]]+Tabella15[[#This Row],[ALL8]])</f>
        <v>1</v>
      </c>
      <c r="K30" s="1"/>
      <c r="L30" s="1"/>
      <c r="M30" s="21">
        <f>Tabella15[[#This Row],[IOT SPECFIC]]+Tabella15[[#This Row],[MBSE]]+Tabella15[[#This Row],[NEW MODEL]]</f>
        <v>0</v>
      </c>
      <c r="N30" s="21">
        <f>IF(Tabella15[[#This Row],[ALL]]&gt;0,1,0)</f>
        <v>0</v>
      </c>
      <c r="O30" s="1"/>
      <c r="P30" s="21">
        <f>IF(Tabella15[[#This Row],[DEPLOYMENT]]&gt;0,1,0)</f>
        <v>0</v>
      </c>
      <c r="Q30" s="1"/>
      <c r="R30" s="1"/>
      <c r="S30" s="1"/>
      <c r="T30" s="21">
        <f>Tabella15[[#This Row],[issues]]+Tabella15[[#This Row],[High Level]]+Tabella15[[#This Row],[ORCHESTRATION]]</f>
        <v>0</v>
      </c>
      <c r="U30" s="21">
        <f>IF(Tabella15[[#This Row],[ALL2]]&gt;0,1,0)</f>
        <v>0</v>
      </c>
      <c r="V30" s="1"/>
      <c r="W30" s="1"/>
      <c r="X30" s="1"/>
      <c r="Y30" s="21">
        <f>Tabella15[[#This Row],[Logginh]]+Tabella15[[#This Row],[Monitoring]]+Tabella15[[#This Row],[Performance]]</f>
        <v>0</v>
      </c>
      <c r="Z30" s="21">
        <f>IF(Tabella15[[#This Row],[ALL3]]&gt;0,1,0)</f>
        <v>0</v>
      </c>
      <c r="AA30" s="1"/>
      <c r="AB30" s="21">
        <f>IF(Tabella15[[#This Row],[TESTING]]&gt;0,1,0)</f>
        <v>0</v>
      </c>
      <c r="AC30" s="1"/>
      <c r="AD30" s="1">
        <v>1</v>
      </c>
      <c r="AE30" s="1"/>
      <c r="AF30" s="1"/>
      <c r="AG30" s="1"/>
      <c r="AH30" s="21">
        <f>Tabella15[[#This Row],[PRIVACY]]+Tabella15[[#This Row],[MATURITY MODEL]]+Tabella15[[#This Row],[ADDITIONAL]]+Tabella15[[#This Row],[DEVSECOPS]]+Tabella15[[#This Row],[SECURITY]]</f>
        <v>1</v>
      </c>
      <c r="AI30" s="21">
        <f>IF(Tabella15[[#This Row],[ALL4]]&gt;0,1,0)</f>
        <v>1</v>
      </c>
      <c r="AJ30" s="1"/>
      <c r="AK30" s="1">
        <v>2</v>
      </c>
      <c r="AL30" s="1">
        <f>(Tabella15[[#This Row],[ALL5]]+Tabella15[[#This Row],[ALL6]]+Tabella15[[#This Row],[ALL22]]+Tabella15[[#This Row],[ALL32]]+Tabella15[[#This Row],[ALL7]]+Tabella15[[#This Row],[ALL8]])*Tabella15[[#This Row],[Citazioni distinte]]</f>
        <v>2</v>
      </c>
      <c r="AM30" s="1">
        <f>(Tabella15[[#This Row],[ALL5]]+Tabella15[[#This Row],[ALL6]]+Tabella15[[#This Row],[ALL22]]+Tabella15[[#This Row],[ALL32]]+Tabella15[[#This Row],[ALL7]]+Tabella15[[#This Row],[ALL8]])*Tabella15[[#This Row],[PUNTO]]</f>
        <v>3.66</v>
      </c>
      <c r="AN30" s="6" t="s">
        <v>102</v>
      </c>
      <c r="AO30" s="1">
        <v>9</v>
      </c>
      <c r="AP30" s="1" t="s">
        <v>102</v>
      </c>
      <c r="AQ30" s="1" t="s">
        <v>102</v>
      </c>
      <c r="AR30" s="1" t="s">
        <v>102</v>
      </c>
      <c r="AS30" s="1" t="s">
        <v>74</v>
      </c>
      <c r="AT30" s="1" t="s">
        <v>77</v>
      </c>
      <c r="AU30" s="1" t="s">
        <v>77</v>
      </c>
      <c r="AV30" t="s">
        <v>318</v>
      </c>
      <c r="AW30">
        <v>2022</v>
      </c>
      <c r="AZ30" t="s">
        <v>319</v>
      </c>
      <c r="BA30" t="s">
        <v>320</v>
      </c>
      <c r="BB30" t="s">
        <v>321</v>
      </c>
      <c r="BE30" t="s">
        <v>256</v>
      </c>
      <c r="BF30" t="s">
        <v>323</v>
      </c>
      <c r="BG30" t="s">
        <v>324</v>
      </c>
      <c r="BH30" t="s">
        <v>325</v>
      </c>
      <c r="BI30" t="s">
        <v>322</v>
      </c>
      <c r="BJ30" s="1">
        <v>0</v>
      </c>
      <c r="BK30" s="1">
        <v>0</v>
      </c>
      <c r="BL30" s="1">
        <v>2</v>
      </c>
      <c r="BM30" s="1">
        <v>0</v>
      </c>
      <c r="BN30" s="1">
        <v>2</v>
      </c>
      <c r="BO30"/>
    </row>
    <row r="31" spans="2:67" x14ac:dyDescent="0.55000000000000004">
      <c r="B31" t="s">
        <v>68</v>
      </c>
      <c r="C31" t="s">
        <v>69</v>
      </c>
      <c r="D31" t="s">
        <v>100</v>
      </c>
      <c r="E31" t="s">
        <v>71</v>
      </c>
      <c r="F31" s="4">
        <v>44</v>
      </c>
      <c r="G31" t="s">
        <v>326</v>
      </c>
      <c r="H3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31" s="1">
        <f>(Tabella15[[#This Row],[ALL5]]+Tabella15[[#This Row],[ALL6]]+Tabella15[[#This Row],[ALL22]]+Tabella15[[#This Row],[ALL32]]+Tabella15[[#This Row],[ALL7]]+Tabella15[[#This Row],[ALL8]])</f>
        <v>3</v>
      </c>
      <c r="K31" s="1"/>
      <c r="L31" s="1">
        <v>2</v>
      </c>
      <c r="M31" s="21">
        <f>Tabella15[[#This Row],[IOT SPECFIC]]+Tabella15[[#This Row],[MBSE]]+Tabella15[[#This Row],[NEW MODEL]]</f>
        <v>2</v>
      </c>
      <c r="N31" s="21">
        <f>IF(Tabella15[[#This Row],[ALL]]&gt;0,1,0)</f>
        <v>1</v>
      </c>
      <c r="O31" s="1"/>
      <c r="P31" s="21">
        <f>IF(Tabella15[[#This Row],[DEPLOYMENT]]&gt;0,1,0)</f>
        <v>0</v>
      </c>
      <c r="Q31" s="1"/>
      <c r="R31" s="1"/>
      <c r="S31" s="1">
        <v>2</v>
      </c>
      <c r="T31" s="21">
        <f>Tabella15[[#This Row],[issues]]+Tabella15[[#This Row],[High Level]]+Tabella15[[#This Row],[ORCHESTRATION]]</f>
        <v>2</v>
      </c>
      <c r="U31" s="21">
        <f>IF(Tabella15[[#This Row],[ALL2]]&gt;0,1,0)</f>
        <v>1</v>
      </c>
      <c r="V31" s="1"/>
      <c r="W31" s="1"/>
      <c r="X31" s="1"/>
      <c r="Y31" s="21">
        <f>Tabella15[[#This Row],[Logginh]]+Tabella15[[#This Row],[Monitoring]]+Tabella15[[#This Row],[Performance]]</f>
        <v>0</v>
      </c>
      <c r="Z31" s="21">
        <f>IF(Tabella15[[#This Row],[ALL3]]&gt;0,1,0)</f>
        <v>0</v>
      </c>
      <c r="AA31" s="1">
        <v>1</v>
      </c>
      <c r="AB31" s="21">
        <f>IF(Tabella15[[#This Row],[TESTING]]&gt;0,1,0)</f>
        <v>1</v>
      </c>
      <c r="AC31" s="1"/>
      <c r="AD31" s="1"/>
      <c r="AE31" s="1"/>
      <c r="AF31" s="1"/>
      <c r="AG31" s="1"/>
      <c r="AH31" s="21">
        <f>Tabella15[[#This Row],[PRIVACY]]+Tabella15[[#This Row],[MATURITY MODEL]]+Tabella15[[#This Row],[ADDITIONAL]]+Tabella15[[#This Row],[DEVSECOPS]]+Tabella15[[#This Row],[SECURITY]]</f>
        <v>0</v>
      </c>
      <c r="AI31" s="21">
        <f>IF(Tabella15[[#This Row],[ALL4]]&gt;0,1,0)</f>
        <v>0</v>
      </c>
      <c r="AJ31" s="1"/>
      <c r="AK31" s="1">
        <v>6</v>
      </c>
      <c r="AL31" s="1">
        <f>(Tabella15[[#This Row],[ALL5]]+Tabella15[[#This Row],[ALL6]]+Tabella15[[#This Row],[ALL22]]+Tabella15[[#This Row],[ALL32]]+Tabella15[[#This Row],[ALL7]]+Tabella15[[#This Row],[ALL8]])*Tabella15[[#This Row],[Citazioni distinte]]</f>
        <v>18</v>
      </c>
      <c r="AM31" s="1">
        <f>(Tabella15[[#This Row],[ALL5]]+Tabella15[[#This Row],[ALL6]]+Tabella15[[#This Row],[ALL22]]+Tabella15[[#This Row],[ALL32]]+Tabella15[[#This Row],[ALL7]]+Tabella15[[#This Row],[ALL8]])*Tabella15[[#This Row],[PUNTO]]</f>
        <v>2.9699999999999998</v>
      </c>
      <c r="AN31" s="6" t="s">
        <v>102</v>
      </c>
      <c r="AO31" s="1">
        <v>4</v>
      </c>
      <c r="AP31" s="1" t="s">
        <v>75</v>
      </c>
      <c r="AQ31" s="1" t="s">
        <v>75</v>
      </c>
      <c r="AR31" s="1" t="s">
        <v>75</v>
      </c>
      <c r="AS31" s="1" t="s">
        <v>327</v>
      </c>
      <c r="AT31" s="1" t="s">
        <v>76</v>
      </c>
      <c r="AU31" s="1" t="s">
        <v>77</v>
      </c>
      <c r="AV31" t="s">
        <v>328</v>
      </c>
      <c r="AW31">
        <v>2020</v>
      </c>
      <c r="AX31" t="s">
        <v>329</v>
      </c>
      <c r="AY31" s="2" t="s">
        <v>330</v>
      </c>
      <c r="AZ31" t="s">
        <v>331</v>
      </c>
      <c r="BB31" t="s">
        <v>332</v>
      </c>
      <c r="BE31" t="s">
        <v>100</v>
      </c>
      <c r="BF31" t="s">
        <v>334</v>
      </c>
      <c r="BG31" t="s">
        <v>335</v>
      </c>
      <c r="BH31" t="s">
        <v>336</v>
      </c>
      <c r="BI31" t="s">
        <v>333</v>
      </c>
      <c r="BJ31" s="1">
        <v>6</v>
      </c>
      <c r="BK31" s="1">
        <v>5</v>
      </c>
      <c r="BL31" s="1">
        <v>3</v>
      </c>
      <c r="BM31" s="1">
        <v>0</v>
      </c>
      <c r="BN31" s="1">
        <v>6</v>
      </c>
      <c r="BO31"/>
    </row>
    <row r="32" spans="2:67" x14ac:dyDescent="0.55000000000000004">
      <c r="B32" t="s">
        <v>68</v>
      </c>
      <c r="C32" t="s">
        <v>69</v>
      </c>
      <c r="D32" t="s">
        <v>207</v>
      </c>
      <c r="E32" t="s">
        <v>102</v>
      </c>
      <c r="F32" s="4">
        <v>46</v>
      </c>
      <c r="G32" t="s">
        <v>337</v>
      </c>
      <c r="H3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2.64</v>
      </c>
      <c r="I32" s="1">
        <f>(Tabella15[[#This Row],[ALL5]]+Tabella15[[#This Row],[ALL6]]+Tabella15[[#This Row],[ALL22]]+Tabella15[[#This Row],[ALL32]]+Tabella15[[#This Row],[ALL7]]+Tabella15[[#This Row],[ALL8]])</f>
        <v>2</v>
      </c>
      <c r="K32" s="1"/>
      <c r="L32" s="1"/>
      <c r="M32" s="21">
        <f>Tabella15[[#This Row],[IOT SPECFIC]]+Tabella15[[#This Row],[MBSE]]+Tabella15[[#This Row],[NEW MODEL]]</f>
        <v>0</v>
      </c>
      <c r="N32" s="21">
        <f>IF(Tabella15[[#This Row],[ALL]]&gt;0,1,0)</f>
        <v>0</v>
      </c>
      <c r="O32" s="1">
        <v>3</v>
      </c>
      <c r="P32" s="21">
        <f>IF(Tabella15[[#This Row],[DEPLOYMENT]]&gt;0,1,0)</f>
        <v>1</v>
      </c>
      <c r="Q32" s="1">
        <v>1</v>
      </c>
      <c r="R32" s="1"/>
      <c r="S32" s="1"/>
      <c r="T32" s="21">
        <f>Tabella15[[#This Row],[issues]]+Tabella15[[#This Row],[High Level]]+Tabella15[[#This Row],[ORCHESTRATION]]</f>
        <v>1</v>
      </c>
      <c r="U32" s="21">
        <f>IF(Tabella15[[#This Row],[ALL2]]&gt;0,1,0)</f>
        <v>1</v>
      </c>
      <c r="V32" s="1"/>
      <c r="W32" s="1"/>
      <c r="X32" s="1"/>
      <c r="Y32" s="21">
        <f>Tabella15[[#This Row],[Logginh]]+Tabella15[[#This Row],[Monitoring]]+Tabella15[[#This Row],[Performance]]</f>
        <v>0</v>
      </c>
      <c r="Z32" s="21">
        <f>IF(Tabella15[[#This Row],[ALL3]]&gt;0,1,0)</f>
        <v>0</v>
      </c>
      <c r="AA32" s="1"/>
      <c r="AB32" s="21">
        <f>IF(Tabella15[[#This Row],[TESTING]]&gt;0,1,0)</f>
        <v>0</v>
      </c>
      <c r="AC32" s="1"/>
      <c r="AD32" s="1"/>
      <c r="AE32" s="1"/>
      <c r="AF32" s="1"/>
      <c r="AG32" s="1"/>
      <c r="AH32" s="21">
        <f>Tabella15[[#This Row],[PRIVACY]]+Tabella15[[#This Row],[MATURITY MODEL]]+Tabella15[[#This Row],[ADDITIONAL]]+Tabella15[[#This Row],[DEVSECOPS]]+Tabella15[[#This Row],[SECURITY]]</f>
        <v>0</v>
      </c>
      <c r="AI32" s="21">
        <f>IF(Tabella15[[#This Row],[ALL4]]&gt;0,1,0)</f>
        <v>0</v>
      </c>
      <c r="AJ32" s="1"/>
      <c r="AK32" s="1">
        <v>3</v>
      </c>
      <c r="AL32" s="1">
        <f>(Tabella15[[#This Row],[ALL5]]+Tabella15[[#This Row],[ALL6]]+Tabella15[[#This Row],[ALL22]]+Tabella15[[#This Row],[ALL32]]+Tabella15[[#This Row],[ALL7]]+Tabella15[[#This Row],[ALL8]])*Tabella15[[#This Row],[Citazioni distinte]]</f>
        <v>6</v>
      </c>
      <c r="AM32" s="1">
        <f>(Tabella15[[#This Row],[ALL5]]+Tabella15[[#This Row],[ALL6]]+Tabella15[[#This Row],[ALL22]]+Tabella15[[#This Row],[ALL32]]+Tabella15[[#This Row],[ALL7]]+Tabella15[[#This Row],[ALL8]])*Tabella15[[#This Row],[PUNTO]]</f>
        <v>5.28</v>
      </c>
      <c r="AN32" s="6" t="s">
        <v>102</v>
      </c>
      <c r="AO32" s="1">
        <v>6</v>
      </c>
      <c r="AP32" s="1" t="s">
        <v>74</v>
      </c>
      <c r="AQ32" s="1" t="s">
        <v>74</v>
      </c>
      <c r="AR32" s="1" t="s">
        <v>74</v>
      </c>
      <c r="AS32" s="1" t="s">
        <v>74</v>
      </c>
      <c r="AT32" s="1" t="s">
        <v>77</v>
      </c>
      <c r="AU32" s="1" t="s">
        <v>77</v>
      </c>
      <c r="AV32" t="s">
        <v>338</v>
      </c>
      <c r="AW32">
        <v>2024</v>
      </c>
      <c r="AX32" t="s">
        <v>339</v>
      </c>
      <c r="AY32" s="2" t="s">
        <v>340</v>
      </c>
      <c r="AZ32" t="s">
        <v>341</v>
      </c>
      <c r="BA32" t="s">
        <v>342</v>
      </c>
      <c r="BC32" t="s">
        <v>343</v>
      </c>
      <c r="BD32" t="s">
        <v>60</v>
      </c>
      <c r="BE32" t="s">
        <v>85</v>
      </c>
      <c r="BF32" t="s">
        <v>345</v>
      </c>
      <c r="BG32" t="s">
        <v>346</v>
      </c>
      <c r="BH32" t="s">
        <v>347</v>
      </c>
      <c r="BI32" t="s">
        <v>344</v>
      </c>
      <c r="BJ32" s="1">
        <v>3</v>
      </c>
      <c r="BK32" s="1">
        <v>2</v>
      </c>
      <c r="BL32" s="1">
        <v>1</v>
      </c>
      <c r="BM32" s="1">
        <v>0</v>
      </c>
      <c r="BN32" s="1">
        <v>3</v>
      </c>
      <c r="BO32"/>
    </row>
    <row r="33" spans="2:67" x14ac:dyDescent="0.55000000000000004">
      <c r="B33" t="s">
        <v>68</v>
      </c>
      <c r="C33" t="s">
        <v>69</v>
      </c>
      <c r="D33" t="s">
        <v>100</v>
      </c>
      <c r="E33" t="s">
        <v>71</v>
      </c>
      <c r="F33" s="4">
        <v>48</v>
      </c>
      <c r="G33" t="s">
        <v>348</v>
      </c>
      <c r="H3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2.9800000000000004</v>
      </c>
      <c r="I33" s="1">
        <f>(Tabella15[[#This Row],[ALL5]]+Tabella15[[#This Row],[ALL6]]+Tabella15[[#This Row],[ALL22]]+Tabella15[[#This Row],[ALL32]]+Tabella15[[#This Row],[ALL7]]+Tabella15[[#This Row],[ALL8]])</f>
        <v>1</v>
      </c>
      <c r="K33" s="1">
        <v>2</v>
      </c>
      <c r="L33" s="1"/>
      <c r="M33" s="21">
        <f>Tabella15[[#This Row],[IOT SPECFIC]]+Tabella15[[#This Row],[MBSE]]+Tabella15[[#This Row],[NEW MODEL]]</f>
        <v>2</v>
      </c>
      <c r="N33" s="21">
        <f>IF(Tabella15[[#This Row],[ALL]]&gt;0,1,0)</f>
        <v>1</v>
      </c>
      <c r="O33" s="1"/>
      <c r="P33" s="21">
        <f>IF(Tabella15[[#This Row],[DEPLOYMENT]]&gt;0,1,0)</f>
        <v>0</v>
      </c>
      <c r="Q33" s="1"/>
      <c r="R33" s="1"/>
      <c r="S33" s="1"/>
      <c r="T33" s="21">
        <f>Tabella15[[#This Row],[issues]]+Tabella15[[#This Row],[High Level]]+Tabella15[[#This Row],[ORCHESTRATION]]</f>
        <v>0</v>
      </c>
      <c r="U33" s="21">
        <f>IF(Tabella15[[#This Row],[ALL2]]&gt;0,1,0)</f>
        <v>0</v>
      </c>
      <c r="V33" s="1"/>
      <c r="W33" s="1"/>
      <c r="X33" s="1"/>
      <c r="Y33" s="21">
        <f>Tabella15[[#This Row],[Logginh]]+Tabella15[[#This Row],[Monitoring]]+Tabella15[[#This Row],[Performance]]</f>
        <v>0</v>
      </c>
      <c r="Z33" s="21">
        <f>IF(Tabella15[[#This Row],[ALL3]]&gt;0,1,0)</f>
        <v>0</v>
      </c>
      <c r="AA33" s="1"/>
      <c r="AB33" s="21">
        <f>IF(Tabella15[[#This Row],[TESTING]]&gt;0,1,0)</f>
        <v>0</v>
      </c>
      <c r="AC33" s="1"/>
      <c r="AD33" s="1"/>
      <c r="AE33" s="1"/>
      <c r="AF33" s="1"/>
      <c r="AG33" s="1"/>
      <c r="AH33" s="21">
        <f>Tabella15[[#This Row],[PRIVACY]]+Tabella15[[#This Row],[MATURITY MODEL]]+Tabella15[[#This Row],[ADDITIONAL]]+Tabella15[[#This Row],[DEVSECOPS]]+Tabella15[[#This Row],[SECURITY]]</f>
        <v>0</v>
      </c>
      <c r="AI33" s="21">
        <f>IF(Tabella15[[#This Row],[ALL4]]&gt;0,1,0)</f>
        <v>0</v>
      </c>
      <c r="AJ33" s="1"/>
      <c r="AK33" s="1">
        <v>6</v>
      </c>
      <c r="AL33" s="1">
        <f>(Tabella15[[#This Row],[ALL5]]+Tabella15[[#This Row],[ALL6]]+Tabella15[[#This Row],[ALL22]]+Tabella15[[#This Row],[ALL32]]+Tabella15[[#This Row],[ALL7]]+Tabella15[[#This Row],[ALL8]])*Tabella15[[#This Row],[Citazioni distinte]]</f>
        <v>6</v>
      </c>
      <c r="AM33" s="1">
        <f>(Tabella15[[#This Row],[ALL5]]+Tabella15[[#This Row],[ALL6]]+Tabella15[[#This Row],[ALL22]]+Tabella15[[#This Row],[ALL32]]+Tabella15[[#This Row],[ALL7]]+Tabella15[[#This Row],[ALL8]])*Tabella15[[#This Row],[PUNTO]]</f>
        <v>2.9800000000000004</v>
      </c>
      <c r="AN33" s="6" t="s">
        <v>73</v>
      </c>
      <c r="AO33" s="1">
        <v>8</v>
      </c>
      <c r="AP33" s="1" t="s">
        <v>102</v>
      </c>
      <c r="AQ33" s="1" t="s">
        <v>74</v>
      </c>
      <c r="AR33" s="1" t="s">
        <v>74</v>
      </c>
      <c r="AS33" s="1" t="s">
        <v>74</v>
      </c>
      <c r="AT33" s="1" t="s">
        <v>76</v>
      </c>
      <c r="AU33" s="1" t="s">
        <v>77</v>
      </c>
      <c r="AV33" t="s">
        <v>349</v>
      </c>
      <c r="AW33">
        <v>2020</v>
      </c>
      <c r="AX33" t="s">
        <v>350</v>
      </c>
      <c r="AY33" s="2" t="s">
        <v>351</v>
      </c>
      <c r="AZ33" t="s">
        <v>352</v>
      </c>
      <c r="BA33" t="s">
        <v>353</v>
      </c>
      <c r="BC33" t="s">
        <v>354</v>
      </c>
      <c r="BD33" t="s">
        <v>60</v>
      </c>
      <c r="BE33" t="s">
        <v>100</v>
      </c>
      <c r="BF33" t="s">
        <v>356</v>
      </c>
      <c r="BG33" t="s">
        <v>357</v>
      </c>
      <c r="BH33" t="s">
        <v>88</v>
      </c>
      <c r="BI33" t="s">
        <v>355</v>
      </c>
      <c r="BJ33" s="1">
        <v>6</v>
      </c>
      <c r="BK33" s="1">
        <v>5</v>
      </c>
      <c r="BL33" s="1">
        <v>3</v>
      </c>
      <c r="BM33" s="1">
        <v>0</v>
      </c>
      <c r="BN33" s="1">
        <v>6</v>
      </c>
      <c r="BO33"/>
    </row>
    <row r="34" spans="2:67" x14ac:dyDescent="0.55000000000000004">
      <c r="B34" t="s">
        <v>122</v>
      </c>
      <c r="C34" t="s">
        <v>123</v>
      </c>
      <c r="D34" t="s">
        <v>232</v>
      </c>
      <c r="E34" t="s">
        <v>102</v>
      </c>
      <c r="F34" s="4">
        <v>49</v>
      </c>
      <c r="G34" t="s">
        <v>358</v>
      </c>
      <c r="H3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34" s="1">
        <f>(Tabella15[[#This Row],[ALL5]]+Tabella15[[#This Row],[ALL6]]+Tabella15[[#This Row],[ALL22]]+Tabella15[[#This Row],[ALL32]]+Tabella15[[#This Row],[ALL7]]+Tabella15[[#This Row],[ALL8]])</f>
        <v>3</v>
      </c>
      <c r="K34" s="1"/>
      <c r="L34" s="1"/>
      <c r="M34" s="21">
        <f>Tabella15[[#This Row],[IOT SPECFIC]]+Tabella15[[#This Row],[MBSE]]+Tabella15[[#This Row],[NEW MODEL]]</f>
        <v>0</v>
      </c>
      <c r="N34" s="21">
        <f>IF(Tabella15[[#This Row],[ALL]]&gt;0,1,0)</f>
        <v>0</v>
      </c>
      <c r="O34" s="1">
        <v>3</v>
      </c>
      <c r="P34" s="21">
        <f>IF(Tabella15[[#This Row],[DEPLOYMENT]]&gt;0,1,0)</f>
        <v>1</v>
      </c>
      <c r="Q34" s="1">
        <v>1</v>
      </c>
      <c r="R34" s="1"/>
      <c r="S34" s="1"/>
      <c r="T34" s="21">
        <f>Tabella15[[#This Row],[issues]]+Tabella15[[#This Row],[High Level]]+Tabella15[[#This Row],[ORCHESTRATION]]</f>
        <v>1</v>
      </c>
      <c r="U34" s="21">
        <f>IF(Tabella15[[#This Row],[ALL2]]&gt;0,1,0)</f>
        <v>1</v>
      </c>
      <c r="V34" s="1"/>
      <c r="W34" s="1"/>
      <c r="X34" s="1"/>
      <c r="Y34" s="21">
        <f>Tabella15[[#This Row],[Logginh]]+Tabella15[[#This Row],[Monitoring]]+Tabella15[[#This Row],[Performance]]</f>
        <v>0</v>
      </c>
      <c r="Z34" s="21">
        <f>IF(Tabella15[[#This Row],[ALL3]]&gt;0,1,0)</f>
        <v>0</v>
      </c>
      <c r="AA34" s="1">
        <v>1</v>
      </c>
      <c r="AB34" s="21">
        <f>IF(Tabella15[[#This Row],[TESTING]]&gt;0,1,0)</f>
        <v>1</v>
      </c>
      <c r="AC34" s="1"/>
      <c r="AD34" s="1"/>
      <c r="AE34" s="1"/>
      <c r="AF34" s="1"/>
      <c r="AG34" s="1"/>
      <c r="AH34" s="21">
        <f>Tabella15[[#This Row],[PRIVACY]]+Tabella15[[#This Row],[MATURITY MODEL]]+Tabella15[[#This Row],[ADDITIONAL]]+Tabella15[[#This Row],[DEVSECOPS]]+Tabella15[[#This Row],[SECURITY]]</f>
        <v>0</v>
      </c>
      <c r="AI34" s="21">
        <f>IF(Tabella15[[#This Row],[ALL4]]&gt;0,1,0)</f>
        <v>0</v>
      </c>
      <c r="AJ34" s="1"/>
      <c r="AK34" s="1">
        <v>18</v>
      </c>
      <c r="AL34" s="1">
        <f>(Tabella15[[#This Row],[ALL5]]+Tabella15[[#This Row],[ALL6]]+Tabella15[[#This Row],[ALL22]]+Tabella15[[#This Row],[ALL32]]+Tabella15[[#This Row],[ALL7]]+Tabella15[[#This Row],[ALL8]])*Tabella15[[#This Row],[Citazioni distinte]]</f>
        <v>54</v>
      </c>
      <c r="AM34" s="1">
        <f>(Tabella15[[#This Row],[ALL5]]+Tabella15[[#This Row],[ALL6]]+Tabella15[[#This Row],[ALL22]]+Tabella15[[#This Row],[ALL32]]+Tabella15[[#This Row],[ALL7]]+Tabella15[[#This Row],[ALL8]])*Tabella15[[#This Row],[PUNTO]]</f>
        <v>10.98</v>
      </c>
      <c r="AN34" s="6" t="s">
        <v>102</v>
      </c>
      <c r="AO34" s="1">
        <v>53</v>
      </c>
      <c r="AP34" s="1" t="s">
        <v>102</v>
      </c>
      <c r="AQ34" s="1" t="s">
        <v>102</v>
      </c>
      <c r="AR34" s="1" t="s">
        <v>102</v>
      </c>
      <c r="AS34" s="1" t="s">
        <v>74</v>
      </c>
      <c r="AT34" s="1" t="s">
        <v>77</v>
      </c>
      <c r="AU34" s="1" t="s">
        <v>77</v>
      </c>
      <c r="AV34" t="s">
        <v>359</v>
      </c>
      <c r="AW34">
        <v>2021</v>
      </c>
      <c r="AX34" t="s">
        <v>360</v>
      </c>
      <c r="AY34" t="s">
        <v>361</v>
      </c>
      <c r="AZ34" t="s">
        <v>362</v>
      </c>
      <c r="BB34" t="s">
        <v>363</v>
      </c>
      <c r="BE34" t="s">
        <v>131</v>
      </c>
      <c r="BF34" t="s">
        <v>365</v>
      </c>
      <c r="BG34" t="s">
        <v>366</v>
      </c>
      <c r="BH34" t="s">
        <v>88</v>
      </c>
      <c r="BI34" t="s">
        <v>364</v>
      </c>
      <c r="BJ34" s="1">
        <v>18</v>
      </c>
      <c r="BK34" s="1">
        <v>0</v>
      </c>
      <c r="BL34" s="1">
        <v>7</v>
      </c>
      <c r="BM34" s="1">
        <v>0</v>
      </c>
      <c r="BN34" s="1">
        <v>18</v>
      </c>
      <c r="BO34"/>
    </row>
    <row r="35" spans="2:67" x14ac:dyDescent="0.55000000000000004">
      <c r="B35" t="s">
        <v>122</v>
      </c>
      <c r="C35" t="s">
        <v>123</v>
      </c>
      <c r="D35" t="s">
        <v>232</v>
      </c>
      <c r="E35" t="s">
        <v>102</v>
      </c>
      <c r="F35" s="4">
        <v>52</v>
      </c>
      <c r="G35" t="s">
        <v>367</v>
      </c>
      <c r="H3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2.9800000000000004</v>
      </c>
      <c r="I35" s="1">
        <f>(Tabella15[[#This Row],[ALL5]]+Tabella15[[#This Row],[ALL6]]+Tabella15[[#This Row],[ALL22]]+Tabella15[[#This Row],[ALL32]]+Tabella15[[#This Row],[ALL7]]+Tabella15[[#This Row],[ALL8]])</f>
        <v>2</v>
      </c>
      <c r="K35" s="1"/>
      <c r="L35" s="1"/>
      <c r="M35" s="21">
        <f>Tabella15[[#This Row],[IOT SPECFIC]]+Tabella15[[#This Row],[MBSE]]+Tabella15[[#This Row],[NEW MODEL]]</f>
        <v>0</v>
      </c>
      <c r="N35" s="21">
        <f>IF(Tabella15[[#This Row],[ALL]]&gt;0,1,0)</f>
        <v>0</v>
      </c>
      <c r="O35" s="1">
        <v>3</v>
      </c>
      <c r="P35" s="21">
        <f>IF(Tabella15[[#This Row],[DEPLOYMENT]]&gt;0,1,0)</f>
        <v>1</v>
      </c>
      <c r="Q35" s="1"/>
      <c r="R35" s="1"/>
      <c r="S35" s="1"/>
      <c r="T35" s="21">
        <f>Tabella15[[#This Row],[issues]]+Tabella15[[#This Row],[High Level]]+Tabella15[[#This Row],[ORCHESTRATION]]</f>
        <v>0</v>
      </c>
      <c r="U35" s="21">
        <f>IF(Tabella15[[#This Row],[ALL2]]&gt;0,1,0)</f>
        <v>0</v>
      </c>
      <c r="V35" s="1"/>
      <c r="W35" s="1">
        <v>1</v>
      </c>
      <c r="X35" s="1"/>
      <c r="Y35" s="21">
        <f>Tabella15[[#This Row],[Logginh]]+Tabella15[[#This Row],[Monitoring]]+Tabella15[[#This Row],[Performance]]</f>
        <v>1</v>
      </c>
      <c r="Z35" s="21">
        <f>IF(Tabella15[[#This Row],[ALL3]]&gt;0,1,0)</f>
        <v>1</v>
      </c>
      <c r="AA35" s="1"/>
      <c r="AB35" s="21">
        <f>IF(Tabella15[[#This Row],[TESTING]]&gt;0,1,0)</f>
        <v>0</v>
      </c>
      <c r="AC35" s="1"/>
      <c r="AD35" s="1"/>
      <c r="AE35" s="1"/>
      <c r="AF35" s="1"/>
      <c r="AG35" s="1"/>
      <c r="AH35" s="21">
        <f>Tabella15[[#This Row],[PRIVACY]]+Tabella15[[#This Row],[MATURITY MODEL]]+Tabella15[[#This Row],[ADDITIONAL]]+Tabella15[[#This Row],[DEVSECOPS]]+Tabella15[[#This Row],[SECURITY]]</f>
        <v>0</v>
      </c>
      <c r="AI35" s="21">
        <f>IF(Tabella15[[#This Row],[ALL4]]&gt;0,1,0)</f>
        <v>0</v>
      </c>
      <c r="AJ35" s="1"/>
      <c r="AK35" s="1">
        <v>20</v>
      </c>
      <c r="AL35" s="1">
        <f>(Tabella15[[#This Row],[ALL5]]+Tabella15[[#This Row],[ALL6]]+Tabella15[[#This Row],[ALL22]]+Tabella15[[#This Row],[ALL32]]+Tabella15[[#This Row],[ALL7]]+Tabella15[[#This Row],[ALL8]])*Tabella15[[#This Row],[Citazioni distinte]]</f>
        <v>40</v>
      </c>
      <c r="AM35" s="1">
        <f>(Tabella15[[#This Row],[ALL5]]+Tabella15[[#This Row],[ALL6]]+Tabella15[[#This Row],[ALL22]]+Tabella15[[#This Row],[ALL32]]+Tabella15[[#This Row],[ALL7]]+Tabella15[[#This Row],[ALL8]])*Tabella15[[#This Row],[PUNTO]]</f>
        <v>5.9600000000000009</v>
      </c>
      <c r="AN35" s="6" t="s">
        <v>102</v>
      </c>
      <c r="AO35" s="1">
        <v>24</v>
      </c>
      <c r="AP35" s="1" t="s">
        <v>102</v>
      </c>
      <c r="AQ35" s="1" t="s">
        <v>74</v>
      </c>
      <c r="AR35" s="1" t="s">
        <v>74</v>
      </c>
      <c r="AS35" s="1" t="s">
        <v>74</v>
      </c>
      <c r="AT35" s="1" t="s">
        <v>76</v>
      </c>
      <c r="AU35" s="1" t="s">
        <v>77</v>
      </c>
      <c r="AV35" t="s">
        <v>368</v>
      </c>
      <c r="AW35">
        <v>2022</v>
      </c>
      <c r="AX35" t="s">
        <v>369</v>
      </c>
      <c r="AY35" t="s">
        <v>370</v>
      </c>
      <c r="AZ35" t="s">
        <v>371</v>
      </c>
      <c r="BB35" t="s">
        <v>363</v>
      </c>
      <c r="BE35" t="s">
        <v>131</v>
      </c>
      <c r="BF35" t="s">
        <v>373</v>
      </c>
      <c r="BG35" t="s">
        <v>374</v>
      </c>
      <c r="BH35" t="s">
        <v>88</v>
      </c>
      <c r="BI35" t="s">
        <v>372</v>
      </c>
      <c r="BJ35" s="1">
        <v>20</v>
      </c>
      <c r="BK35" s="1">
        <v>0</v>
      </c>
      <c r="BL35" s="1">
        <v>13</v>
      </c>
      <c r="BM35" s="1">
        <v>0</v>
      </c>
      <c r="BN35" s="1">
        <v>20</v>
      </c>
      <c r="BO35"/>
    </row>
    <row r="36" spans="2:67" x14ac:dyDescent="0.55000000000000004">
      <c r="B36" t="s">
        <v>122</v>
      </c>
      <c r="C36" t="s">
        <v>123</v>
      </c>
      <c r="D36" t="s">
        <v>232</v>
      </c>
      <c r="E36" t="s">
        <v>102</v>
      </c>
      <c r="F36" s="4">
        <v>53</v>
      </c>
      <c r="G36" t="s">
        <v>375</v>
      </c>
      <c r="H3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36" s="1">
        <f>(Tabella15[[#This Row],[ALL5]]+Tabella15[[#This Row],[ALL6]]+Tabella15[[#This Row],[ALL22]]+Tabella15[[#This Row],[ALL32]]+Tabella15[[#This Row],[ALL7]]+Tabella15[[#This Row],[ALL8]])</f>
        <v>2</v>
      </c>
      <c r="K36" s="1"/>
      <c r="L36" s="1"/>
      <c r="M36" s="21">
        <f>Tabella15[[#This Row],[IOT SPECFIC]]+Tabella15[[#This Row],[MBSE]]+Tabella15[[#This Row],[NEW MODEL]]</f>
        <v>0</v>
      </c>
      <c r="N36" s="21">
        <f>IF(Tabella15[[#This Row],[ALL]]&gt;0,1,0)</f>
        <v>0</v>
      </c>
      <c r="O36" s="1">
        <v>3</v>
      </c>
      <c r="P36" s="21">
        <f>IF(Tabella15[[#This Row],[DEPLOYMENT]]&gt;0,1,0)</f>
        <v>1</v>
      </c>
      <c r="Q36" s="1"/>
      <c r="R36" s="1"/>
      <c r="S36" s="1">
        <v>1</v>
      </c>
      <c r="T36" s="21">
        <f>Tabella15[[#This Row],[issues]]+Tabella15[[#This Row],[High Level]]+Tabella15[[#This Row],[ORCHESTRATION]]</f>
        <v>1</v>
      </c>
      <c r="U36" s="21">
        <f>IF(Tabella15[[#This Row],[ALL2]]&gt;0,1,0)</f>
        <v>1</v>
      </c>
      <c r="V36" s="1"/>
      <c r="W36" s="1"/>
      <c r="X36" s="1"/>
      <c r="Y36" s="21">
        <f>Tabella15[[#This Row],[Logginh]]+Tabella15[[#This Row],[Monitoring]]+Tabella15[[#This Row],[Performance]]</f>
        <v>0</v>
      </c>
      <c r="Z36" s="21">
        <f>IF(Tabella15[[#This Row],[ALL3]]&gt;0,1,0)</f>
        <v>0</v>
      </c>
      <c r="AA36" s="1"/>
      <c r="AB36" s="21">
        <f>IF(Tabella15[[#This Row],[TESTING]]&gt;0,1,0)</f>
        <v>0</v>
      </c>
      <c r="AC36" s="1"/>
      <c r="AD36" s="1"/>
      <c r="AE36" s="1"/>
      <c r="AF36" s="1"/>
      <c r="AG36" s="1"/>
      <c r="AH36" s="21">
        <f>Tabella15[[#This Row],[PRIVACY]]+Tabella15[[#This Row],[MATURITY MODEL]]+Tabella15[[#This Row],[ADDITIONAL]]+Tabella15[[#This Row],[DEVSECOPS]]+Tabella15[[#This Row],[SECURITY]]</f>
        <v>0</v>
      </c>
      <c r="AI36" s="21">
        <f>IF(Tabella15[[#This Row],[ALL4]]&gt;0,1,0)</f>
        <v>0</v>
      </c>
      <c r="AJ36" s="1"/>
      <c r="AK36" s="1">
        <v>17</v>
      </c>
      <c r="AL36" s="1">
        <f>(Tabella15[[#This Row],[ALL5]]+Tabella15[[#This Row],[ALL6]]+Tabella15[[#This Row],[ALL22]]+Tabella15[[#This Row],[ALL32]]+Tabella15[[#This Row],[ALL7]]+Tabella15[[#This Row],[ALL8]])*Tabella15[[#This Row],[Citazioni distinte]]</f>
        <v>34</v>
      </c>
      <c r="AM36" s="1">
        <f>(Tabella15[[#This Row],[ALL5]]+Tabella15[[#This Row],[ALL6]]+Tabella15[[#This Row],[ALL22]]+Tabella15[[#This Row],[ALL32]]+Tabella15[[#This Row],[ALL7]]+Tabella15[[#This Row],[ALL8]])*Tabella15[[#This Row],[PUNTO]]</f>
        <v>8</v>
      </c>
      <c r="AN36" s="6" t="s">
        <v>102</v>
      </c>
      <c r="AO36" s="1">
        <v>11</v>
      </c>
      <c r="AP36" s="1" t="s">
        <v>102</v>
      </c>
      <c r="AQ36" s="1" t="s">
        <v>102</v>
      </c>
      <c r="AR36" s="1" t="s">
        <v>102</v>
      </c>
      <c r="AS36" s="1" t="s">
        <v>102</v>
      </c>
      <c r="AT36" s="1" t="s">
        <v>77</v>
      </c>
      <c r="AU36" s="1" t="s">
        <v>77</v>
      </c>
      <c r="AV36" t="s">
        <v>376</v>
      </c>
      <c r="AW36">
        <v>2020</v>
      </c>
      <c r="AX36" t="s">
        <v>377</v>
      </c>
      <c r="AY36" s="2" t="s">
        <v>378</v>
      </c>
      <c r="AZ36" t="s">
        <v>379</v>
      </c>
      <c r="BA36" t="s">
        <v>380</v>
      </c>
      <c r="BC36" t="s">
        <v>381</v>
      </c>
      <c r="BD36" t="s">
        <v>60</v>
      </c>
      <c r="BE36" t="s">
        <v>131</v>
      </c>
      <c r="BF36" t="s">
        <v>383</v>
      </c>
      <c r="BG36" t="s">
        <v>384</v>
      </c>
      <c r="BH36" t="s">
        <v>88</v>
      </c>
      <c r="BI36" t="s">
        <v>382</v>
      </c>
      <c r="BJ36" s="1">
        <v>17</v>
      </c>
      <c r="BK36" s="1">
        <v>0</v>
      </c>
      <c r="BL36" s="1">
        <v>11</v>
      </c>
      <c r="BM36" s="1">
        <v>0</v>
      </c>
      <c r="BN36" s="1">
        <v>17</v>
      </c>
      <c r="BO36"/>
    </row>
    <row r="37" spans="2:67" x14ac:dyDescent="0.55000000000000004">
      <c r="B37" t="s">
        <v>68</v>
      </c>
      <c r="C37" t="s">
        <v>69</v>
      </c>
      <c r="D37" t="s">
        <v>177</v>
      </c>
      <c r="E37" t="s">
        <v>73</v>
      </c>
      <c r="F37" s="4">
        <v>54</v>
      </c>
      <c r="G37" t="s">
        <v>385</v>
      </c>
      <c r="H3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2.3199999999999998</v>
      </c>
      <c r="I37" s="1">
        <f>(Tabella15[[#This Row],[ALL5]]+Tabella15[[#This Row],[ALL6]]+Tabella15[[#This Row],[ALL22]]+Tabella15[[#This Row],[ALL32]]+Tabella15[[#This Row],[ALL7]]+Tabella15[[#This Row],[ALL8]])</f>
        <v>1</v>
      </c>
      <c r="K37" s="1"/>
      <c r="L37" s="1"/>
      <c r="M37" s="21">
        <f>Tabella15[[#This Row],[IOT SPECFIC]]+Tabella15[[#This Row],[MBSE]]+Tabella15[[#This Row],[NEW MODEL]]</f>
        <v>0</v>
      </c>
      <c r="N37" s="21">
        <f>IF(Tabella15[[#This Row],[ALL]]&gt;0,1,0)</f>
        <v>0</v>
      </c>
      <c r="O37" s="1">
        <v>3</v>
      </c>
      <c r="P37" s="21">
        <f>IF(Tabella15[[#This Row],[DEPLOYMENT]]&gt;0,1,0)</f>
        <v>1</v>
      </c>
      <c r="Q37" s="1"/>
      <c r="R37" s="1"/>
      <c r="S37" s="1"/>
      <c r="T37" s="21">
        <f>Tabella15[[#This Row],[issues]]+Tabella15[[#This Row],[High Level]]+Tabella15[[#This Row],[ORCHESTRATION]]</f>
        <v>0</v>
      </c>
      <c r="U37" s="21">
        <f>IF(Tabella15[[#This Row],[ALL2]]&gt;0,1,0)</f>
        <v>0</v>
      </c>
      <c r="V37" s="1"/>
      <c r="W37" s="1"/>
      <c r="X37" s="1"/>
      <c r="Y37" s="21">
        <f>Tabella15[[#This Row],[Logginh]]+Tabella15[[#This Row],[Monitoring]]+Tabella15[[#This Row],[Performance]]</f>
        <v>0</v>
      </c>
      <c r="Z37" s="21">
        <f>IF(Tabella15[[#This Row],[ALL3]]&gt;0,1,0)</f>
        <v>0</v>
      </c>
      <c r="AA37" s="1"/>
      <c r="AB37" s="21">
        <f>IF(Tabella15[[#This Row],[TESTING]]&gt;0,1,0)</f>
        <v>0</v>
      </c>
      <c r="AC37" s="1"/>
      <c r="AD37" s="1"/>
      <c r="AE37" s="1"/>
      <c r="AF37" s="1"/>
      <c r="AG37" s="1"/>
      <c r="AH37" s="21">
        <f>Tabella15[[#This Row],[PRIVACY]]+Tabella15[[#This Row],[MATURITY MODEL]]+Tabella15[[#This Row],[ADDITIONAL]]+Tabella15[[#This Row],[DEVSECOPS]]+Tabella15[[#This Row],[SECURITY]]</f>
        <v>0</v>
      </c>
      <c r="AI37" s="21">
        <f>IF(Tabella15[[#This Row],[ALL4]]&gt;0,1,0)</f>
        <v>0</v>
      </c>
      <c r="AJ37" s="1">
        <v>-1</v>
      </c>
      <c r="AK37" s="1">
        <v>11</v>
      </c>
      <c r="AL37" s="1">
        <f>(Tabella15[[#This Row],[ALL5]]+Tabella15[[#This Row],[ALL6]]+Tabella15[[#This Row],[ALL22]]+Tabella15[[#This Row],[ALL32]]+Tabella15[[#This Row],[ALL7]]+Tabella15[[#This Row],[ALL8]])*Tabella15[[#This Row],[Citazioni distinte]]</f>
        <v>11</v>
      </c>
      <c r="AM37" s="1">
        <f>(Tabella15[[#This Row],[ALL5]]+Tabella15[[#This Row],[ALL6]]+Tabella15[[#This Row],[ALL22]]+Tabella15[[#This Row],[ALL32]]+Tabella15[[#This Row],[ALL7]]+Tabella15[[#This Row],[ALL8]])*Tabella15[[#This Row],[PUNTO]]</f>
        <v>2.3199999999999998</v>
      </c>
      <c r="AN37" s="6" t="s">
        <v>102</v>
      </c>
      <c r="AO37" s="1">
        <v>6</v>
      </c>
      <c r="AP37" s="1" t="s">
        <v>74</v>
      </c>
      <c r="AQ37" s="1" t="s">
        <v>75</v>
      </c>
      <c r="AR37" s="1" t="s">
        <v>102</v>
      </c>
      <c r="AS37" s="1" t="s">
        <v>75</v>
      </c>
      <c r="AT37" s="1" t="s">
        <v>76</v>
      </c>
      <c r="AU37" s="1" t="s">
        <v>77</v>
      </c>
      <c r="AV37" t="s">
        <v>386</v>
      </c>
      <c r="AW37">
        <v>2022</v>
      </c>
      <c r="AX37" t="s">
        <v>387</v>
      </c>
      <c r="AY37" s="2" t="s">
        <v>388</v>
      </c>
      <c r="AZ37" t="s">
        <v>389</v>
      </c>
      <c r="BA37" t="s">
        <v>390</v>
      </c>
      <c r="BC37" t="s">
        <v>391</v>
      </c>
      <c r="BD37" t="s">
        <v>60</v>
      </c>
      <c r="BE37" t="s">
        <v>85</v>
      </c>
      <c r="BF37" t="s">
        <v>1210</v>
      </c>
      <c r="BG37" t="s">
        <v>393</v>
      </c>
      <c r="BH37" t="s">
        <v>394</v>
      </c>
      <c r="BI37" t="s">
        <v>392</v>
      </c>
      <c r="BJ37" s="1">
        <v>11</v>
      </c>
      <c r="BK37" s="1">
        <v>0</v>
      </c>
      <c r="BL37" s="1">
        <v>0</v>
      </c>
      <c r="BM37" s="1">
        <v>0</v>
      </c>
      <c r="BN37" s="1">
        <v>11</v>
      </c>
      <c r="BO37"/>
    </row>
    <row r="38" spans="2:67" x14ac:dyDescent="0.55000000000000004">
      <c r="B38" t="s">
        <v>68</v>
      </c>
      <c r="C38" t="s">
        <v>69</v>
      </c>
      <c r="D38" t="s">
        <v>70</v>
      </c>
      <c r="E38" t="s">
        <v>71</v>
      </c>
      <c r="F38" s="4">
        <v>56</v>
      </c>
      <c r="G38" t="s">
        <v>395</v>
      </c>
      <c r="H3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38" s="1">
        <f>(Tabella15[[#This Row],[ALL5]]+Tabella15[[#This Row],[ALL6]]+Tabella15[[#This Row],[ALL22]]+Tabella15[[#This Row],[ALL32]]+Tabella15[[#This Row],[ALL7]]+Tabella15[[#This Row],[ALL8]])</f>
        <v>1</v>
      </c>
      <c r="K38" s="1"/>
      <c r="L38" s="1"/>
      <c r="M38" s="21">
        <f>Tabella15[[#This Row],[IOT SPECFIC]]+Tabella15[[#This Row],[MBSE]]+Tabella15[[#This Row],[NEW MODEL]]</f>
        <v>0</v>
      </c>
      <c r="N38" s="21">
        <f>IF(Tabella15[[#This Row],[ALL]]&gt;0,1,0)</f>
        <v>0</v>
      </c>
      <c r="O38" s="1"/>
      <c r="P38" s="21">
        <f>IF(Tabella15[[#This Row],[DEPLOYMENT]]&gt;0,1,0)</f>
        <v>0</v>
      </c>
      <c r="Q38" s="1"/>
      <c r="R38" s="1"/>
      <c r="S38" s="1"/>
      <c r="T38" s="21">
        <f>Tabella15[[#This Row],[issues]]+Tabella15[[#This Row],[High Level]]+Tabella15[[#This Row],[ORCHESTRATION]]</f>
        <v>0</v>
      </c>
      <c r="U38" s="21">
        <f>IF(Tabella15[[#This Row],[ALL2]]&gt;0,1,0)</f>
        <v>0</v>
      </c>
      <c r="V38" s="1"/>
      <c r="W38" s="1"/>
      <c r="X38" s="1"/>
      <c r="Y38" s="21">
        <f>Tabella15[[#This Row],[Logginh]]+Tabella15[[#This Row],[Monitoring]]+Tabella15[[#This Row],[Performance]]</f>
        <v>0</v>
      </c>
      <c r="Z38" s="21">
        <f>IF(Tabella15[[#This Row],[ALL3]]&gt;0,1,0)</f>
        <v>0</v>
      </c>
      <c r="AA38" s="1">
        <v>1</v>
      </c>
      <c r="AB38" s="21">
        <f>IF(Tabella15[[#This Row],[TESTING]]&gt;0,1,0)</f>
        <v>1</v>
      </c>
      <c r="AC38" s="1"/>
      <c r="AD38" s="1"/>
      <c r="AE38" s="1"/>
      <c r="AF38" s="1"/>
      <c r="AG38" s="1"/>
      <c r="AH38" s="21">
        <f>Tabella15[[#This Row],[PRIVACY]]+Tabella15[[#This Row],[MATURITY MODEL]]+Tabella15[[#This Row],[ADDITIONAL]]+Tabella15[[#This Row],[DEVSECOPS]]+Tabella15[[#This Row],[SECURITY]]</f>
        <v>0</v>
      </c>
      <c r="AI38" s="21">
        <f>IF(Tabella15[[#This Row],[ALL4]]&gt;0,1,0)</f>
        <v>0</v>
      </c>
      <c r="AJ38" s="1"/>
      <c r="AK38" s="1">
        <v>6</v>
      </c>
      <c r="AL38" s="1">
        <f>(Tabella15[[#This Row],[ALL5]]+Tabella15[[#This Row],[ALL6]]+Tabella15[[#This Row],[ALL22]]+Tabella15[[#This Row],[ALL32]]+Tabella15[[#This Row],[ALL7]]+Tabella15[[#This Row],[ALL8]])*Tabella15[[#This Row],[Citazioni distinte]]</f>
        <v>6</v>
      </c>
      <c r="AM38" s="1">
        <f>(Tabella15[[#This Row],[ALL5]]+Tabella15[[#This Row],[ALL6]]+Tabella15[[#This Row],[ALL22]]+Tabella15[[#This Row],[ALL32]]+Tabella15[[#This Row],[ALL7]]+Tabella15[[#This Row],[ALL8]])*Tabella15[[#This Row],[PUNTO]]</f>
        <v>1.32</v>
      </c>
      <c r="AN38" s="6" t="s">
        <v>102</v>
      </c>
      <c r="AO38" s="1">
        <v>6</v>
      </c>
      <c r="AP38" s="1" t="s">
        <v>75</v>
      </c>
      <c r="AQ38" s="1" t="s">
        <v>75</v>
      </c>
      <c r="AR38" s="1" t="s">
        <v>75</v>
      </c>
      <c r="AS38" s="1" t="s">
        <v>75</v>
      </c>
      <c r="AT38" s="1" t="s">
        <v>76</v>
      </c>
      <c r="AU38" s="1" t="s">
        <v>77</v>
      </c>
      <c r="AV38" t="s">
        <v>396</v>
      </c>
      <c r="AW38">
        <v>2019</v>
      </c>
      <c r="AX38" t="s">
        <v>397</v>
      </c>
      <c r="AY38" s="2" t="s">
        <v>398</v>
      </c>
      <c r="AZ38" t="s">
        <v>399</v>
      </c>
      <c r="BA38" t="s">
        <v>400</v>
      </c>
      <c r="BC38" t="s">
        <v>96</v>
      </c>
      <c r="BD38" t="s">
        <v>60</v>
      </c>
      <c r="BE38" t="s">
        <v>202</v>
      </c>
      <c r="BF38" t="s">
        <v>402</v>
      </c>
      <c r="BG38" t="s">
        <v>403</v>
      </c>
      <c r="BH38" t="s">
        <v>404</v>
      </c>
      <c r="BI38" t="s">
        <v>401</v>
      </c>
      <c r="BJ38" s="1">
        <v>0</v>
      </c>
      <c r="BK38" s="1">
        <v>6</v>
      </c>
      <c r="BL38" s="1">
        <v>0</v>
      </c>
      <c r="BM38" s="1">
        <v>0</v>
      </c>
      <c r="BN38" s="1">
        <v>6</v>
      </c>
      <c r="BO38"/>
    </row>
    <row r="39" spans="2:67" x14ac:dyDescent="0.55000000000000004">
      <c r="B39" t="s">
        <v>122</v>
      </c>
      <c r="C39" t="s">
        <v>123</v>
      </c>
      <c r="D39" t="s">
        <v>232</v>
      </c>
      <c r="E39" t="s">
        <v>71</v>
      </c>
      <c r="F39" s="4">
        <v>57</v>
      </c>
      <c r="G39" t="s">
        <v>405</v>
      </c>
      <c r="H3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39" s="1">
        <f>(Tabella15[[#This Row],[ALL5]]+Tabella15[[#This Row],[ALL6]]+Tabella15[[#This Row],[ALL22]]+Tabella15[[#This Row],[ALL32]]+Tabella15[[#This Row],[ALL7]]+Tabella15[[#This Row],[ALL8]])</f>
        <v>2</v>
      </c>
      <c r="K39" s="1"/>
      <c r="L39" s="1"/>
      <c r="M39" s="21">
        <f>Tabella15[[#This Row],[IOT SPECFIC]]+Tabella15[[#This Row],[MBSE]]+Tabella15[[#This Row],[NEW MODEL]]</f>
        <v>0</v>
      </c>
      <c r="N39" s="21">
        <f>IF(Tabella15[[#This Row],[ALL]]&gt;0,1,0)</f>
        <v>0</v>
      </c>
      <c r="O39" s="1">
        <v>3</v>
      </c>
      <c r="P39" s="21">
        <f>IF(Tabella15[[#This Row],[DEPLOYMENT]]&gt;0,1,0)</f>
        <v>1</v>
      </c>
      <c r="Q39" s="1"/>
      <c r="R39" s="1"/>
      <c r="S39" s="1">
        <v>2</v>
      </c>
      <c r="T39" s="21">
        <f>Tabella15[[#This Row],[issues]]+Tabella15[[#This Row],[High Level]]+Tabella15[[#This Row],[ORCHESTRATION]]</f>
        <v>2</v>
      </c>
      <c r="U39" s="21">
        <f>IF(Tabella15[[#This Row],[ALL2]]&gt;0,1,0)</f>
        <v>1</v>
      </c>
      <c r="V39" s="1"/>
      <c r="W39" s="1"/>
      <c r="X39" s="1"/>
      <c r="Y39" s="21">
        <f>Tabella15[[#This Row],[Logginh]]+Tabella15[[#This Row],[Monitoring]]+Tabella15[[#This Row],[Performance]]</f>
        <v>0</v>
      </c>
      <c r="Z39" s="21">
        <f>IF(Tabella15[[#This Row],[ALL3]]&gt;0,1,0)</f>
        <v>0</v>
      </c>
      <c r="AA39" s="1"/>
      <c r="AB39" s="21">
        <f>IF(Tabella15[[#This Row],[TESTING]]&gt;0,1,0)</f>
        <v>0</v>
      </c>
      <c r="AC39" s="1"/>
      <c r="AD39" s="1"/>
      <c r="AE39" s="1"/>
      <c r="AF39" s="1"/>
      <c r="AG39" s="1"/>
      <c r="AH39" s="21">
        <f>Tabella15[[#This Row],[PRIVACY]]+Tabella15[[#This Row],[MATURITY MODEL]]+Tabella15[[#This Row],[ADDITIONAL]]+Tabella15[[#This Row],[DEVSECOPS]]+Tabella15[[#This Row],[SECURITY]]</f>
        <v>0</v>
      </c>
      <c r="AI39" s="21">
        <f>IF(Tabella15[[#This Row],[ALL4]]&gt;0,1,0)</f>
        <v>0</v>
      </c>
      <c r="AJ39" s="1"/>
      <c r="AK39" s="1">
        <v>15</v>
      </c>
      <c r="AL39" s="1">
        <f>(Tabella15[[#This Row],[ALL5]]+Tabella15[[#This Row],[ALL6]]+Tabella15[[#This Row],[ALL22]]+Tabella15[[#This Row],[ALL32]]+Tabella15[[#This Row],[ALL7]]+Tabella15[[#This Row],[ALL8]])*Tabella15[[#This Row],[Citazioni distinte]]</f>
        <v>30</v>
      </c>
      <c r="AM39" s="1">
        <f>(Tabella15[[#This Row],[ALL5]]+Tabella15[[#This Row],[ALL6]]+Tabella15[[#This Row],[ALL22]]+Tabella15[[#This Row],[ALL32]]+Tabella15[[#This Row],[ALL7]]+Tabella15[[#This Row],[ALL8]])*Tabella15[[#This Row],[PUNTO]]</f>
        <v>6.66</v>
      </c>
      <c r="AN39" s="6" t="s">
        <v>73</v>
      </c>
      <c r="AO39" s="1">
        <v>21</v>
      </c>
      <c r="AP39" s="1" t="s">
        <v>102</v>
      </c>
      <c r="AQ39" s="1" t="s">
        <v>102</v>
      </c>
      <c r="AR39" s="1" t="s">
        <v>102</v>
      </c>
      <c r="AS39" s="1" t="s">
        <v>75</v>
      </c>
      <c r="AT39" s="1" t="s">
        <v>77</v>
      </c>
      <c r="AU39" s="1" t="s">
        <v>77</v>
      </c>
      <c r="AV39" t="s">
        <v>406</v>
      </c>
      <c r="AW39">
        <v>2025</v>
      </c>
      <c r="AX39" t="s">
        <v>407</v>
      </c>
      <c r="AZ39" t="s">
        <v>408</v>
      </c>
      <c r="BB39" t="s">
        <v>409</v>
      </c>
      <c r="BE39" t="s">
        <v>131</v>
      </c>
      <c r="BF39" t="s">
        <v>411</v>
      </c>
      <c r="BG39" t="s">
        <v>412</v>
      </c>
      <c r="BH39" t="s">
        <v>88</v>
      </c>
      <c r="BI39" t="s">
        <v>410</v>
      </c>
      <c r="BJ39" s="1">
        <v>15</v>
      </c>
      <c r="BK39" s="1">
        <v>0</v>
      </c>
      <c r="BL39" s="1">
        <v>13</v>
      </c>
      <c r="BM39" s="1">
        <v>0</v>
      </c>
      <c r="BN39" s="1">
        <v>15</v>
      </c>
      <c r="BO39"/>
    </row>
    <row r="40" spans="2:67" x14ac:dyDescent="0.55000000000000004">
      <c r="B40" t="s">
        <v>122</v>
      </c>
      <c r="C40" t="s">
        <v>123</v>
      </c>
      <c r="D40" t="s">
        <v>70</v>
      </c>
      <c r="E40" t="s">
        <v>71</v>
      </c>
      <c r="F40" s="4">
        <v>59</v>
      </c>
      <c r="G40" t="s">
        <v>413</v>
      </c>
      <c r="H4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40" s="1">
        <f>(Tabella15[[#This Row],[ALL5]]+Tabella15[[#This Row],[ALL6]]+Tabella15[[#This Row],[ALL22]]+Tabella15[[#This Row],[ALL32]]+Tabella15[[#This Row],[ALL7]]+Tabella15[[#This Row],[ALL8]])</f>
        <v>1</v>
      </c>
      <c r="K40" s="1"/>
      <c r="L40" s="1"/>
      <c r="M40" s="21">
        <f>Tabella15[[#This Row],[IOT SPECFIC]]+Tabella15[[#This Row],[MBSE]]+Tabella15[[#This Row],[NEW MODEL]]</f>
        <v>0</v>
      </c>
      <c r="N40" s="21">
        <f>IF(Tabella15[[#This Row],[ALL]]&gt;0,1,0)</f>
        <v>0</v>
      </c>
      <c r="O40" s="1"/>
      <c r="P40" s="21">
        <f>IF(Tabella15[[#This Row],[DEPLOYMENT]]&gt;0,1,0)</f>
        <v>0</v>
      </c>
      <c r="Q40" s="1"/>
      <c r="R40" s="1"/>
      <c r="S40" s="1"/>
      <c r="T40" s="21">
        <f>Tabella15[[#This Row],[issues]]+Tabella15[[#This Row],[High Level]]+Tabella15[[#This Row],[ORCHESTRATION]]</f>
        <v>0</v>
      </c>
      <c r="U40" s="21">
        <f>IF(Tabella15[[#This Row],[ALL2]]&gt;0,1,0)</f>
        <v>0</v>
      </c>
      <c r="V40" s="1"/>
      <c r="W40" s="1"/>
      <c r="X40" s="1"/>
      <c r="Y40" s="21">
        <f>Tabella15[[#This Row],[Logginh]]+Tabella15[[#This Row],[Monitoring]]+Tabella15[[#This Row],[Performance]]</f>
        <v>0</v>
      </c>
      <c r="Z40" s="21">
        <f>IF(Tabella15[[#This Row],[ALL3]]&gt;0,1,0)</f>
        <v>0</v>
      </c>
      <c r="AA40" s="1"/>
      <c r="AB40" s="21">
        <f>IF(Tabella15[[#This Row],[TESTING]]&gt;0,1,0)</f>
        <v>0</v>
      </c>
      <c r="AC40" s="1">
        <v>1</v>
      </c>
      <c r="AD40" s="1"/>
      <c r="AE40" s="1"/>
      <c r="AF40" s="1"/>
      <c r="AG40" s="1"/>
      <c r="AH40" s="21">
        <f>Tabella15[[#This Row],[PRIVACY]]+Tabella15[[#This Row],[MATURITY MODEL]]+Tabella15[[#This Row],[ADDITIONAL]]+Tabella15[[#This Row],[DEVSECOPS]]+Tabella15[[#This Row],[SECURITY]]</f>
        <v>1</v>
      </c>
      <c r="AI40" s="21">
        <f>IF(Tabella15[[#This Row],[ALL4]]&gt;0,1,0)</f>
        <v>1</v>
      </c>
      <c r="AJ40" s="1"/>
      <c r="AK40" s="1">
        <v>2</v>
      </c>
      <c r="AL40" s="1">
        <f>(Tabella15[[#This Row],[ALL5]]+Tabella15[[#This Row],[ALL6]]+Tabella15[[#This Row],[ALL22]]+Tabella15[[#This Row],[ALL32]]+Tabella15[[#This Row],[ALL7]]+Tabella15[[#This Row],[ALL8]])*Tabella15[[#This Row],[Citazioni distinte]]</f>
        <v>2</v>
      </c>
      <c r="AM40" s="1">
        <f>(Tabella15[[#This Row],[ALL5]]+Tabella15[[#This Row],[ALL6]]+Tabella15[[#This Row],[ALL22]]+Tabella15[[#This Row],[ALL32]]+Tabella15[[#This Row],[ALL7]]+Tabella15[[#This Row],[ALL8]])*Tabella15[[#This Row],[PUNTO]]</f>
        <v>1.32</v>
      </c>
      <c r="AN40" s="6" t="s">
        <v>102</v>
      </c>
      <c r="AO40" s="1">
        <v>16</v>
      </c>
      <c r="AP40" s="1" t="s">
        <v>75</v>
      </c>
      <c r="AQ40" s="1" t="s">
        <v>75</v>
      </c>
      <c r="AR40" s="1" t="s">
        <v>75</v>
      </c>
      <c r="AS40" s="1" t="s">
        <v>75</v>
      </c>
      <c r="AT40" s="1" t="s">
        <v>76</v>
      </c>
      <c r="AU40" s="1" t="s">
        <v>77</v>
      </c>
      <c r="AV40" t="s">
        <v>414</v>
      </c>
      <c r="AW40">
        <v>2020</v>
      </c>
      <c r="AX40" t="s">
        <v>415</v>
      </c>
      <c r="AZ40" t="s">
        <v>416</v>
      </c>
      <c r="BB40" t="s">
        <v>284</v>
      </c>
      <c r="BE40" t="s">
        <v>256</v>
      </c>
      <c r="BF40" t="s">
        <v>418</v>
      </c>
      <c r="BG40" t="s">
        <v>419</v>
      </c>
      <c r="BH40" t="s">
        <v>420</v>
      </c>
      <c r="BI40" t="s">
        <v>417</v>
      </c>
      <c r="BJ40" s="1">
        <v>2</v>
      </c>
      <c r="BK40" s="1">
        <v>0</v>
      </c>
      <c r="BL40" s="1">
        <v>0</v>
      </c>
      <c r="BM40" s="1">
        <v>0</v>
      </c>
      <c r="BN40" s="1">
        <v>2</v>
      </c>
      <c r="BO40"/>
    </row>
    <row r="41" spans="2:67" x14ac:dyDescent="0.55000000000000004">
      <c r="B41" t="s">
        <v>68</v>
      </c>
      <c r="C41" t="s">
        <v>69</v>
      </c>
      <c r="D41" t="s">
        <v>85</v>
      </c>
      <c r="E41" t="s">
        <v>71</v>
      </c>
      <c r="F41" s="4">
        <v>60</v>
      </c>
      <c r="G41" t="s">
        <v>421</v>
      </c>
      <c r="H4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1.9800000000000002</v>
      </c>
      <c r="I41" s="1">
        <f>(Tabella15[[#This Row],[ALL5]]+Tabella15[[#This Row],[ALL6]]+Tabella15[[#This Row],[ALL22]]+Tabella15[[#This Row],[ALL32]]+Tabella15[[#This Row],[ALL7]]+Tabella15[[#This Row],[ALL8]])</f>
        <v>2</v>
      </c>
      <c r="K41" s="1"/>
      <c r="L41" s="1"/>
      <c r="M41" s="21">
        <f>Tabella15[[#This Row],[IOT SPECFIC]]+Tabella15[[#This Row],[MBSE]]+Tabella15[[#This Row],[NEW MODEL]]</f>
        <v>0</v>
      </c>
      <c r="N41" s="21">
        <f>IF(Tabella15[[#This Row],[ALL]]&gt;0,1,0)</f>
        <v>0</v>
      </c>
      <c r="O41" s="1">
        <v>3</v>
      </c>
      <c r="P41" s="21">
        <f>IF(Tabella15[[#This Row],[DEPLOYMENT]]&gt;0,1,0)</f>
        <v>1</v>
      </c>
      <c r="Q41" s="1"/>
      <c r="R41" s="1"/>
      <c r="S41" s="1">
        <v>2</v>
      </c>
      <c r="T41" s="21">
        <f>Tabella15[[#This Row],[issues]]+Tabella15[[#This Row],[High Level]]+Tabella15[[#This Row],[ORCHESTRATION]]</f>
        <v>2</v>
      </c>
      <c r="U41" s="21">
        <f>IF(Tabella15[[#This Row],[ALL2]]&gt;0,1,0)</f>
        <v>1</v>
      </c>
      <c r="V41" s="1"/>
      <c r="W41" s="1"/>
      <c r="X41" s="1"/>
      <c r="Y41" s="21">
        <f>Tabella15[[#This Row],[Logginh]]+Tabella15[[#This Row],[Monitoring]]+Tabella15[[#This Row],[Performance]]</f>
        <v>0</v>
      </c>
      <c r="Z41" s="21">
        <f>IF(Tabella15[[#This Row],[ALL3]]&gt;0,1,0)</f>
        <v>0</v>
      </c>
      <c r="AA41" s="1"/>
      <c r="AB41" s="21">
        <f>IF(Tabella15[[#This Row],[TESTING]]&gt;0,1,0)</f>
        <v>0</v>
      </c>
      <c r="AC41" s="1"/>
      <c r="AD41" s="1"/>
      <c r="AE41" s="1"/>
      <c r="AF41" s="1"/>
      <c r="AG41" s="1"/>
      <c r="AH41" s="21">
        <f>Tabella15[[#This Row],[PRIVACY]]+Tabella15[[#This Row],[MATURITY MODEL]]+Tabella15[[#This Row],[ADDITIONAL]]+Tabella15[[#This Row],[DEVSECOPS]]+Tabella15[[#This Row],[SECURITY]]</f>
        <v>0</v>
      </c>
      <c r="AI41" s="21">
        <f>IF(Tabella15[[#This Row],[ALL4]]&gt;0,1,0)</f>
        <v>0</v>
      </c>
      <c r="AJ41" s="1">
        <v>-1</v>
      </c>
      <c r="AK41" s="1">
        <v>3</v>
      </c>
      <c r="AL41" s="1">
        <f>(Tabella15[[#This Row],[ALL5]]+Tabella15[[#This Row],[ALL6]]+Tabella15[[#This Row],[ALL22]]+Tabella15[[#This Row],[ALL32]]+Tabella15[[#This Row],[ALL7]]+Tabella15[[#This Row],[ALL8]])*Tabella15[[#This Row],[Citazioni distinte]]</f>
        <v>6</v>
      </c>
      <c r="AM41" s="1">
        <f>(Tabella15[[#This Row],[ALL5]]+Tabella15[[#This Row],[ALL6]]+Tabella15[[#This Row],[ALL22]]+Tabella15[[#This Row],[ALL32]]+Tabella15[[#This Row],[ALL7]]+Tabella15[[#This Row],[ALL8]])*Tabella15[[#This Row],[PUNTO]]</f>
        <v>3.9600000000000004</v>
      </c>
      <c r="AN41" s="6" t="s">
        <v>102</v>
      </c>
      <c r="AO41" s="1">
        <v>6</v>
      </c>
      <c r="AP41" s="1" t="s">
        <v>74</v>
      </c>
      <c r="AQ41" s="1" t="s">
        <v>74</v>
      </c>
      <c r="AR41" s="1" t="s">
        <v>75</v>
      </c>
      <c r="AS41" s="1" t="s">
        <v>75</v>
      </c>
      <c r="AT41" s="1" t="s">
        <v>76</v>
      </c>
      <c r="AU41" s="1" t="s">
        <v>77</v>
      </c>
      <c r="AV41" t="s">
        <v>422</v>
      </c>
      <c r="AW41">
        <v>2024</v>
      </c>
      <c r="AX41" t="s">
        <v>423</v>
      </c>
      <c r="AY41" t="s">
        <v>424</v>
      </c>
      <c r="AZ41" t="s">
        <v>425</v>
      </c>
      <c r="BA41" t="s">
        <v>426</v>
      </c>
      <c r="BC41" t="s">
        <v>427</v>
      </c>
      <c r="BD41" t="s">
        <v>428</v>
      </c>
      <c r="BE41" t="s">
        <v>85</v>
      </c>
      <c r="BF41" t="s">
        <v>430</v>
      </c>
      <c r="BG41" t="s">
        <v>431</v>
      </c>
      <c r="BH41" t="s">
        <v>432</v>
      </c>
      <c r="BI41" t="s">
        <v>429</v>
      </c>
      <c r="BJ41" s="1">
        <v>3</v>
      </c>
      <c r="BK41" s="1">
        <v>0</v>
      </c>
      <c r="BL41" s="1">
        <v>1</v>
      </c>
      <c r="BM41" s="1">
        <v>3</v>
      </c>
      <c r="BN41" s="1">
        <v>3</v>
      </c>
      <c r="BO41"/>
    </row>
    <row r="42" spans="2:67" x14ac:dyDescent="0.55000000000000004">
      <c r="B42" t="s">
        <v>68</v>
      </c>
      <c r="C42" t="s">
        <v>69</v>
      </c>
      <c r="D42" t="s">
        <v>232</v>
      </c>
      <c r="E42" t="s">
        <v>71</v>
      </c>
      <c r="F42" s="4">
        <v>61</v>
      </c>
      <c r="G42" t="s">
        <v>433</v>
      </c>
      <c r="H4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42" s="1">
        <f>(Tabella15[[#This Row],[ALL5]]+Tabella15[[#This Row],[ALL6]]+Tabella15[[#This Row],[ALL22]]+Tabella15[[#This Row],[ALL32]]+Tabella15[[#This Row],[ALL7]]+Tabella15[[#This Row],[ALL8]])</f>
        <v>1</v>
      </c>
      <c r="K42" s="1"/>
      <c r="L42" s="1"/>
      <c r="M42" s="21">
        <f>Tabella15[[#This Row],[IOT SPECFIC]]+Tabella15[[#This Row],[MBSE]]+Tabella15[[#This Row],[NEW MODEL]]</f>
        <v>0</v>
      </c>
      <c r="N42" s="21">
        <f>IF(Tabella15[[#This Row],[ALL]]&gt;0,1,0)</f>
        <v>0</v>
      </c>
      <c r="O42" s="1"/>
      <c r="P42" s="21">
        <f>IF(Tabella15[[#This Row],[DEPLOYMENT]]&gt;0,1,0)</f>
        <v>0</v>
      </c>
      <c r="Q42" s="1">
        <v>1</v>
      </c>
      <c r="R42" s="1"/>
      <c r="S42" s="1"/>
      <c r="T42" s="21">
        <f>Tabella15[[#This Row],[issues]]+Tabella15[[#This Row],[High Level]]+Tabella15[[#This Row],[ORCHESTRATION]]</f>
        <v>1</v>
      </c>
      <c r="U42" s="21">
        <f>IF(Tabella15[[#This Row],[ALL2]]&gt;0,1,0)</f>
        <v>1</v>
      </c>
      <c r="V42" s="1"/>
      <c r="W42" s="1"/>
      <c r="X42" s="1"/>
      <c r="Y42" s="21">
        <f>Tabella15[[#This Row],[Logginh]]+Tabella15[[#This Row],[Monitoring]]+Tabella15[[#This Row],[Performance]]</f>
        <v>0</v>
      </c>
      <c r="Z42" s="21">
        <f>IF(Tabella15[[#This Row],[ALL3]]&gt;0,1,0)</f>
        <v>0</v>
      </c>
      <c r="AA42" s="1"/>
      <c r="AB42" s="21">
        <f>IF(Tabella15[[#This Row],[TESTING]]&gt;0,1,0)</f>
        <v>0</v>
      </c>
      <c r="AC42" s="1"/>
      <c r="AD42" s="1"/>
      <c r="AE42" s="1"/>
      <c r="AF42" s="1"/>
      <c r="AG42" s="1"/>
      <c r="AH42" s="21">
        <f>Tabella15[[#This Row],[PRIVACY]]+Tabella15[[#This Row],[MATURITY MODEL]]+Tabella15[[#This Row],[ADDITIONAL]]+Tabella15[[#This Row],[DEVSECOPS]]+Tabella15[[#This Row],[SECURITY]]</f>
        <v>0</v>
      </c>
      <c r="AI42" s="21">
        <f>IF(Tabella15[[#This Row],[ALL4]]&gt;0,1,0)</f>
        <v>0</v>
      </c>
      <c r="AJ42" s="1">
        <v>-1</v>
      </c>
      <c r="AK42" s="1">
        <v>0</v>
      </c>
      <c r="AL42" s="1">
        <f>(Tabella15[[#This Row],[ALL5]]+Tabella15[[#This Row],[ALL6]]+Tabella15[[#This Row],[ALL22]]+Tabella15[[#This Row],[ALL32]]+Tabella15[[#This Row],[ALL7]]+Tabella15[[#This Row],[ALL8]])*Tabella15[[#This Row],[Citazioni distinte]]</f>
        <v>0</v>
      </c>
      <c r="AM42" s="1">
        <f>(Tabella15[[#This Row],[ALL5]]+Tabella15[[#This Row],[ALL6]]+Tabella15[[#This Row],[ALL22]]+Tabella15[[#This Row],[ALL32]]+Tabella15[[#This Row],[ALL7]]+Tabella15[[#This Row],[ALL8]])*Tabella15[[#This Row],[PUNTO]]</f>
        <v>2.31</v>
      </c>
      <c r="AN42" s="6" t="s">
        <v>73</v>
      </c>
      <c r="AO42" s="1">
        <v>6</v>
      </c>
      <c r="AP42" s="1" t="s">
        <v>74</v>
      </c>
      <c r="AQ42" s="1" t="s">
        <v>75</v>
      </c>
      <c r="AR42" s="1" t="s">
        <v>74</v>
      </c>
      <c r="AS42" s="1" t="s">
        <v>74</v>
      </c>
      <c r="AT42" s="1" t="s">
        <v>77</v>
      </c>
      <c r="AU42" s="1" t="s">
        <v>77</v>
      </c>
      <c r="AV42" t="s">
        <v>434</v>
      </c>
      <c r="AW42">
        <v>2023</v>
      </c>
      <c r="AX42" t="s">
        <v>435</v>
      </c>
      <c r="AY42" s="2" t="s">
        <v>436</v>
      </c>
      <c r="AZ42" t="s">
        <v>437</v>
      </c>
      <c r="BA42" t="s">
        <v>438</v>
      </c>
      <c r="BC42" t="s">
        <v>439</v>
      </c>
      <c r="BD42" t="s">
        <v>60</v>
      </c>
      <c r="BE42" t="s">
        <v>131</v>
      </c>
      <c r="BF42" t="s">
        <v>441</v>
      </c>
      <c r="BG42" t="s">
        <v>442</v>
      </c>
      <c r="BH42" t="s">
        <v>298</v>
      </c>
      <c r="BI42" t="s">
        <v>440</v>
      </c>
      <c r="BJ42" s="1">
        <v>0</v>
      </c>
      <c r="BK42" s="1">
        <v>0</v>
      </c>
      <c r="BL42" s="1">
        <v>0</v>
      </c>
      <c r="BM42" s="1">
        <v>0</v>
      </c>
      <c r="BN42" s="1">
        <v>0</v>
      </c>
      <c r="BO42"/>
    </row>
    <row r="43" spans="2:67" x14ac:dyDescent="0.55000000000000004">
      <c r="B43" t="s">
        <v>68</v>
      </c>
      <c r="C43" t="s">
        <v>69</v>
      </c>
      <c r="D43" t="s">
        <v>85</v>
      </c>
      <c r="E43" t="s">
        <v>71</v>
      </c>
      <c r="F43" s="4">
        <v>62</v>
      </c>
      <c r="G43" t="s">
        <v>443</v>
      </c>
      <c r="H4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v>
      </c>
      <c r="I43" s="1">
        <f>(Tabella15[[#This Row],[ALL5]]+Tabella15[[#This Row],[ALL6]]+Tabella15[[#This Row],[ALL22]]+Tabella15[[#This Row],[ALL32]]+Tabella15[[#This Row],[ALL7]]+Tabella15[[#This Row],[ALL8]])</f>
        <v>1</v>
      </c>
      <c r="K43" s="1"/>
      <c r="L43" s="1"/>
      <c r="M43" s="21">
        <f>Tabella15[[#This Row],[IOT SPECFIC]]+Tabella15[[#This Row],[MBSE]]+Tabella15[[#This Row],[NEW MODEL]]</f>
        <v>0</v>
      </c>
      <c r="N43" s="21">
        <f>IF(Tabella15[[#This Row],[ALL]]&gt;0,1,0)</f>
        <v>0</v>
      </c>
      <c r="O43" s="1">
        <v>3</v>
      </c>
      <c r="P43" s="21">
        <f>IF(Tabella15[[#This Row],[DEPLOYMENT]]&gt;0,1,0)</f>
        <v>1</v>
      </c>
      <c r="Q43" s="1"/>
      <c r="R43" s="1"/>
      <c r="S43" s="1"/>
      <c r="T43" s="21">
        <f>Tabella15[[#This Row],[issues]]+Tabella15[[#This Row],[High Level]]+Tabella15[[#This Row],[ORCHESTRATION]]</f>
        <v>0</v>
      </c>
      <c r="U43" s="21">
        <f>IF(Tabella15[[#This Row],[ALL2]]&gt;0,1,0)</f>
        <v>0</v>
      </c>
      <c r="V43" s="1"/>
      <c r="W43" s="1"/>
      <c r="X43" s="1"/>
      <c r="Y43" s="21">
        <f>Tabella15[[#This Row],[Logginh]]+Tabella15[[#This Row],[Monitoring]]+Tabella15[[#This Row],[Performance]]</f>
        <v>0</v>
      </c>
      <c r="Z43" s="21">
        <f>IF(Tabella15[[#This Row],[ALL3]]&gt;0,1,0)</f>
        <v>0</v>
      </c>
      <c r="AA43" s="1"/>
      <c r="AB43" s="21">
        <f>IF(Tabella15[[#This Row],[TESTING]]&gt;0,1,0)</f>
        <v>0</v>
      </c>
      <c r="AC43" s="1"/>
      <c r="AD43" s="1"/>
      <c r="AE43" s="1"/>
      <c r="AF43" s="1"/>
      <c r="AG43" s="1"/>
      <c r="AH43" s="21">
        <f>Tabella15[[#This Row],[PRIVACY]]+Tabella15[[#This Row],[MATURITY MODEL]]+Tabella15[[#This Row],[ADDITIONAL]]+Tabella15[[#This Row],[DEVSECOPS]]+Tabella15[[#This Row],[SECURITY]]</f>
        <v>0</v>
      </c>
      <c r="AI43" s="21">
        <f>IF(Tabella15[[#This Row],[ALL4]]&gt;0,1,0)</f>
        <v>0</v>
      </c>
      <c r="AJ43" s="1"/>
      <c r="AK43" s="1">
        <v>3</v>
      </c>
      <c r="AL43" s="1">
        <f>(Tabella15[[#This Row],[ALL5]]+Tabella15[[#This Row],[ALL6]]+Tabella15[[#This Row],[ALL22]]+Tabella15[[#This Row],[ALL32]]+Tabella15[[#This Row],[ALL7]]+Tabella15[[#This Row],[ALL8]])*Tabella15[[#This Row],[Citazioni distinte]]</f>
        <v>3</v>
      </c>
      <c r="AM43" s="1">
        <f>(Tabella15[[#This Row],[ALL5]]+Tabella15[[#This Row],[ALL6]]+Tabella15[[#This Row],[ALL22]]+Tabella15[[#This Row],[ALL32]]+Tabella15[[#This Row],[ALL7]]+Tabella15[[#This Row],[ALL8]])*Tabella15[[#This Row],[PUNTO]]</f>
        <v>1.65</v>
      </c>
      <c r="AN43" s="6" t="s">
        <v>73</v>
      </c>
      <c r="AO43" s="1">
        <v>6</v>
      </c>
      <c r="AP43" s="1" t="s">
        <v>75</v>
      </c>
      <c r="AQ43" s="1" t="s">
        <v>75</v>
      </c>
      <c r="AR43" s="1" t="s">
        <v>75</v>
      </c>
      <c r="AS43" s="1" t="s">
        <v>74</v>
      </c>
      <c r="AT43" s="1" t="s">
        <v>76</v>
      </c>
      <c r="AU43" s="1" t="s">
        <v>77</v>
      </c>
      <c r="AV43" t="s">
        <v>444</v>
      </c>
      <c r="AW43">
        <v>2023</v>
      </c>
      <c r="AX43" t="s">
        <v>445</v>
      </c>
      <c r="AY43" s="2" t="s">
        <v>446</v>
      </c>
      <c r="AZ43" t="s">
        <v>447</v>
      </c>
      <c r="BA43" t="s">
        <v>448</v>
      </c>
      <c r="BC43" t="s">
        <v>449</v>
      </c>
      <c r="BD43" t="s">
        <v>60</v>
      </c>
      <c r="BE43" t="s">
        <v>85</v>
      </c>
      <c r="BF43" t="s">
        <v>451</v>
      </c>
      <c r="BG43" t="s">
        <v>452</v>
      </c>
      <c r="BH43" t="s">
        <v>453</v>
      </c>
      <c r="BI43" t="s">
        <v>450</v>
      </c>
      <c r="BJ43" s="1">
        <v>3</v>
      </c>
      <c r="BK43" s="1">
        <v>2</v>
      </c>
      <c r="BL43" s="1">
        <v>0</v>
      </c>
      <c r="BM43" s="1">
        <v>0</v>
      </c>
      <c r="BN43" s="1">
        <v>3</v>
      </c>
      <c r="BO43"/>
    </row>
    <row r="44" spans="2:67" x14ac:dyDescent="0.55000000000000004">
      <c r="B44" t="s">
        <v>122</v>
      </c>
      <c r="C44" t="s">
        <v>123</v>
      </c>
      <c r="D44" t="s">
        <v>85</v>
      </c>
      <c r="E44" t="s">
        <v>102</v>
      </c>
      <c r="F44" s="4">
        <v>63</v>
      </c>
      <c r="G44" t="s">
        <v>454</v>
      </c>
      <c r="H4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44" s="1">
        <f>(Tabella15[[#This Row],[ALL5]]+Tabella15[[#This Row],[ALL6]]+Tabella15[[#This Row],[ALL22]]+Tabella15[[#This Row],[ALL32]]+Tabella15[[#This Row],[ALL7]]+Tabella15[[#This Row],[ALL8]])</f>
        <v>3</v>
      </c>
      <c r="J44"/>
      <c r="L44">
        <v>2</v>
      </c>
      <c r="M44" s="21">
        <f>Tabella15[[#This Row],[IOT SPECFIC]]+Tabella15[[#This Row],[MBSE]]+Tabella15[[#This Row],[NEW MODEL]]</f>
        <v>2</v>
      </c>
      <c r="N44" s="21">
        <f>IF(Tabella15[[#This Row],[ALL]]&gt;0,1,0)</f>
        <v>1</v>
      </c>
      <c r="O44" s="1">
        <v>3</v>
      </c>
      <c r="P44" s="21">
        <f>IF(Tabella15[[#This Row],[DEPLOYMENT]]&gt;0,1,0)</f>
        <v>1</v>
      </c>
      <c r="Q44"/>
      <c r="T44" s="21">
        <f>Tabella15[[#This Row],[issues]]+Tabella15[[#This Row],[High Level]]+Tabella15[[#This Row],[ORCHESTRATION]]</f>
        <v>0</v>
      </c>
      <c r="U44" s="21">
        <f>IF(Tabella15[[#This Row],[ALL2]]&gt;0,1,0)</f>
        <v>0</v>
      </c>
      <c r="V44"/>
      <c r="Y44" s="21">
        <f>Tabella15[[#This Row],[Logginh]]+Tabella15[[#This Row],[Monitoring]]+Tabella15[[#This Row],[Performance]]</f>
        <v>0</v>
      </c>
      <c r="Z44" s="21">
        <f>IF(Tabella15[[#This Row],[ALL3]]&gt;0,1,0)</f>
        <v>0</v>
      </c>
      <c r="AA44" s="1"/>
      <c r="AB44" s="21">
        <f>IF(Tabella15[[#This Row],[TESTING]]&gt;0,1,0)</f>
        <v>0</v>
      </c>
      <c r="AC44"/>
      <c r="AD44">
        <v>1</v>
      </c>
      <c r="AH44" s="21">
        <f>Tabella15[[#This Row],[PRIVACY]]+Tabella15[[#This Row],[MATURITY MODEL]]+Tabella15[[#This Row],[ADDITIONAL]]+Tabella15[[#This Row],[DEVSECOPS]]+Tabella15[[#This Row],[SECURITY]]</f>
        <v>1</v>
      </c>
      <c r="AI44" s="21">
        <f>IF(Tabella15[[#This Row],[ALL4]]&gt;0,1,0)</f>
        <v>1</v>
      </c>
      <c r="AJ44" s="1"/>
      <c r="AK44" s="1">
        <v>17</v>
      </c>
      <c r="AL44" s="1">
        <f>(Tabella15[[#This Row],[ALL5]]+Tabella15[[#This Row],[ALL6]]+Tabella15[[#This Row],[ALL22]]+Tabella15[[#This Row],[ALL32]]+Tabella15[[#This Row],[ALL7]]+Tabella15[[#This Row],[ALL8]])*Tabella15[[#This Row],[Citazioni distinte]]</f>
        <v>51</v>
      </c>
      <c r="AM44" s="1">
        <f>(Tabella15[[#This Row],[ALL5]]+Tabella15[[#This Row],[ALL6]]+Tabella15[[#This Row],[ALL22]]+Tabella15[[#This Row],[ALL32]]+Tabella15[[#This Row],[ALL7]]+Tabella15[[#This Row],[ALL8]])*Tabella15[[#This Row],[PUNTO]]</f>
        <v>10.98</v>
      </c>
      <c r="AN44" s="6" t="s">
        <v>102</v>
      </c>
      <c r="AO44" s="1">
        <v>18</v>
      </c>
      <c r="AP44" s="1" t="s">
        <v>102</v>
      </c>
      <c r="AQ44" s="1" t="s">
        <v>102</v>
      </c>
      <c r="AR44" s="1" t="s">
        <v>102</v>
      </c>
      <c r="AS44" s="1" t="s">
        <v>74</v>
      </c>
      <c r="AT44" s="1" t="s">
        <v>77</v>
      </c>
      <c r="AU44" s="1" t="s">
        <v>77</v>
      </c>
      <c r="AV44" t="s">
        <v>455</v>
      </c>
      <c r="AW44">
        <v>2020</v>
      </c>
      <c r="AX44" t="s">
        <v>456</v>
      </c>
      <c r="AY44" t="s">
        <v>457</v>
      </c>
      <c r="AZ44" t="s">
        <v>458</v>
      </c>
      <c r="BB44" t="s">
        <v>459</v>
      </c>
      <c r="BE44" t="s">
        <v>85</v>
      </c>
      <c r="BF44" t="s">
        <v>461</v>
      </c>
      <c r="BG44" t="s">
        <v>462</v>
      </c>
      <c r="BH44" t="s">
        <v>463</v>
      </c>
      <c r="BI44" t="s">
        <v>460</v>
      </c>
      <c r="BJ44" s="1">
        <v>16</v>
      </c>
      <c r="BK44" s="1">
        <v>0</v>
      </c>
      <c r="BL44" s="1">
        <v>11</v>
      </c>
      <c r="BM44" s="1">
        <v>0</v>
      </c>
      <c r="BN44" s="1">
        <v>17</v>
      </c>
      <c r="BO44"/>
    </row>
    <row r="45" spans="2:67" x14ac:dyDescent="0.55000000000000004">
      <c r="B45" t="s">
        <v>68</v>
      </c>
      <c r="C45" t="s">
        <v>69</v>
      </c>
      <c r="D45" t="s">
        <v>207</v>
      </c>
      <c r="E45" t="s">
        <v>71</v>
      </c>
      <c r="F45" s="4">
        <v>64</v>
      </c>
      <c r="G45" t="s">
        <v>464</v>
      </c>
      <c r="H4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45" s="1">
        <f>(Tabella15[[#This Row],[ALL5]]+Tabella15[[#This Row],[ALL6]]+Tabella15[[#This Row],[ALL22]]+Tabella15[[#This Row],[ALL32]]+Tabella15[[#This Row],[ALL7]]+Tabella15[[#This Row],[ALL8]])</f>
        <v>2</v>
      </c>
      <c r="J45"/>
      <c r="M45" s="21">
        <f>Tabella15[[#This Row],[IOT SPECFIC]]+Tabella15[[#This Row],[MBSE]]+Tabella15[[#This Row],[NEW MODEL]]</f>
        <v>0</v>
      </c>
      <c r="N45" s="21">
        <f>IF(Tabella15[[#This Row],[ALL]]&gt;0,1,0)</f>
        <v>0</v>
      </c>
      <c r="O45" s="1">
        <v>3</v>
      </c>
      <c r="P45" s="21">
        <f>IF(Tabella15[[#This Row],[DEPLOYMENT]]&gt;0,1,0)</f>
        <v>1</v>
      </c>
      <c r="Q45"/>
      <c r="T45" s="21">
        <f>Tabella15[[#This Row],[issues]]+Tabella15[[#This Row],[High Level]]+Tabella15[[#This Row],[ORCHESTRATION]]</f>
        <v>0</v>
      </c>
      <c r="U45" s="21">
        <f>IF(Tabella15[[#This Row],[ALL2]]&gt;0,1,0)</f>
        <v>0</v>
      </c>
      <c r="V45"/>
      <c r="W45">
        <v>1</v>
      </c>
      <c r="Y45" s="21">
        <f>Tabella15[[#This Row],[Logginh]]+Tabella15[[#This Row],[Monitoring]]+Tabella15[[#This Row],[Performance]]</f>
        <v>1</v>
      </c>
      <c r="Z45" s="21">
        <f>IF(Tabella15[[#This Row],[ALL3]]&gt;0,1,0)</f>
        <v>1</v>
      </c>
      <c r="AA45" s="1"/>
      <c r="AB45" s="21">
        <f>IF(Tabella15[[#This Row],[TESTING]]&gt;0,1,0)</f>
        <v>0</v>
      </c>
      <c r="AC45"/>
      <c r="AH45" s="21">
        <f>Tabella15[[#This Row],[PRIVACY]]+Tabella15[[#This Row],[MATURITY MODEL]]+Tabella15[[#This Row],[ADDITIONAL]]+Tabella15[[#This Row],[DEVSECOPS]]+Tabella15[[#This Row],[SECURITY]]</f>
        <v>0</v>
      </c>
      <c r="AI45" s="21">
        <f>IF(Tabella15[[#This Row],[ALL4]]&gt;0,1,0)</f>
        <v>0</v>
      </c>
      <c r="AJ45" s="1"/>
      <c r="AK45" s="1">
        <v>20</v>
      </c>
      <c r="AL45" s="1">
        <f>(Tabella15[[#This Row],[ALL5]]+Tabella15[[#This Row],[ALL6]]+Tabella15[[#This Row],[ALL22]]+Tabella15[[#This Row],[ALL32]]+Tabella15[[#This Row],[ALL7]]+Tabella15[[#This Row],[ALL8]])*Tabella15[[#This Row],[Citazioni distinte]]</f>
        <v>40</v>
      </c>
      <c r="AM45" s="1">
        <f>(Tabella15[[#This Row],[ALL5]]+Tabella15[[#This Row],[ALL6]]+Tabella15[[#This Row],[ALL22]]+Tabella15[[#This Row],[ALL32]]+Tabella15[[#This Row],[ALL7]]+Tabella15[[#This Row],[ALL8]])*Tabella15[[#This Row],[PUNTO]]</f>
        <v>7.32</v>
      </c>
      <c r="AN45" s="6" t="s">
        <v>102</v>
      </c>
      <c r="AO45" s="1">
        <v>8</v>
      </c>
      <c r="AP45" s="1" t="s">
        <v>102</v>
      </c>
      <c r="AQ45" s="1" t="s">
        <v>102</v>
      </c>
      <c r="AR45" s="1" t="s">
        <v>102</v>
      </c>
      <c r="AS45" s="1" t="s">
        <v>74</v>
      </c>
      <c r="AT45" s="1" t="s">
        <v>77</v>
      </c>
      <c r="AU45" s="1" t="s">
        <v>77</v>
      </c>
      <c r="AV45" t="s">
        <v>465</v>
      </c>
      <c r="AW45">
        <v>2016</v>
      </c>
      <c r="AX45" t="s">
        <v>466</v>
      </c>
      <c r="AY45" s="2" t="s">
        <v>467</v>
      </c>
      <c r="AZ45" t="s">
        <v>468</v>
      </c>
      <c r="BA45" t="s">
        <v>469</v>
      </c>
      <c r="BC45" t="s">
        <v>470</v>
      </c>
      <c r="BD45" t="s">
        <v>60</v>
      </c>
      <c r="BE45" t="s">
        <v>85</v>
      </c>
      <c r="BF45" t="s">
        <v>472</v>
      </c>
      <c r="BG45" t="s">
        <v>473</v>
      </c>
      <c r="BH45" t="s">
        <v>474</v>
      </c>
      <c r="BI45" t="s">
        <v>471</v>
      </c>
      <c r="BJ45" s="1">
        <v>20</v>
      </c>
      <c r="BK45" s="1">
        <v>15</v>
      </c>
      <c r="BL45" s="1">
        <v>7</v>
      </c>
      <c r="BM45" s="1">
        <v>0</v>
      </c>
      <c r="BN45" s="1">
        <v>20</v>
      </c>
      <c r="BO45"/>
    </row>
    <row r="46" spans="2:67" x14ac:dyDescent="0.55000000000000004">
      <c r="B46" t="s">
        <v>122</v>
      </c>
      <c r="C46" t="s">
        <v>123</v>
      </c>
      <c r="D46" t="s">
        <v>89</v>
      </c>
      <c r="E46" t="s">
        <v>102</v>
      </c>
      <c r="F46" s="4">
        <v>65</v>
      </c>
      <c r="G46" t="s">
        <v>475</v>
      </c>
      <c r="H4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46" s="1">
        <f>(Tabella15[[#This Row],[ALL5]]+Tabella15[[#This Row],[ALL6]]+Tabella15[[#This Row],[ALL22]]+Tabella15[[#This Row],[ALL32]]+Tabella15[[#This Row],[ALL7]]+Tabella15[[#This Row],[ALL8]])</f>
        <v>3</v>
      </c>
      <c r="J46">
        <v>1</v>
      </c>
      <c r="M46" s="21">
        <f>Tabella15[[#This Row],[IOT SPECFIC]]+Tabella15[[#This Row],[MBSE]]+Tabella15[[#This Row],[NEW MODEL]]</f>
        <v>1</v>
      </c>
      <c r="N46" s="21">
        <f>IF(Tabella15[[#This Row],[ALL]]&gt;0,1,0)</f>
        <v>1</v>
      </c>
      <c r="O46" s="1">
        <v>3</v>
      </c>
      <c r="P46" s="21">
        <f>IF(Tabella15[[#This Row],[DEPLOYMENT]]&gt;0,1,0)</f>
        <v>1</v>
      </c>
      <c r="Q46"/>
      <c r="T46" s="21">
        <f>Tabella15[[#This Row],[issues]]+Tabella15[[#This Row],[High Level]]+Tabella15[[#This Row],[ORCHESTRATION]]</f>
        <v>0</v>
      </c>
      <c r="U46" s="21">
        <f>IF(Tabella15[[#This Row],[ALL2]]&gt;0,1,0)</f>
        <v>0</v>
      </c>
      <c r="V46"/>
      <c r="W46">
        <v>1</v>
      </c>
      <c r="Y46" s="21">
        <f>Tabella15[[#This Row],[Logginh]]+Tabella15[[#This Row],[Monitoring]]+Tabella15[[#This Row],[Performance]]</f>
        <v>1</v>
      </c>
      <c r="Z46" s="21">
        <f>IF(Tabella15[[#This Row],[ALL3]]&gt;0,1,0)</f>
        <v>1</v>
      </c>
      <c r="AA46" s="1"/>
      <c r="AB46" s="21">
        <f>IF(Tabella15[[#This Row],[TESTING]]&gt;0,1,0)</f>
        <v>0</v>
      </c>
      <c r="AC46"/>
      <c r="AH46" s="21">
        <f>Tabella15[[#This Row],[PRIVACY]]+Tabella15[[#This Row],[MATURITY MODEL]]+Tabella15[[#This Row],[ADDITIONAL]]+Tabella15[[#This Row],[DEVSECOPS]]+Tabella15[[#This Row],[SECURITY]]</f>
        <v>0</v>
      </c>
      <c r="AI46" s="21">
        <f>IF(Tabella15[[#This Row],[ALL4]]&gt;0,1,0)</f>
        <v>0</v>
      </c>
      <c r="AJ46" s="1"/>
      <c r="AK46" s="1">
        <v>46</v>
      </c>
      <c r="AL46" s="1">
        <f>(Tabella15[[#This Row],[ALL5]]+Tabella15[[#This Row],[ALL6]]+Tabella15[[#This Row],[ALL22]]+Tabella15[[#This Row],[ALL32]]+Tabella15[[#This Row],[ALL7]]+Tabella15[[#This Row],[ALL8]])*Tabella15[[#This Row],[Citazioni distinte]]</f>
        <v>138</v>
      </c>
      <c r="AM46" s="1">
        <f>(Tabella15[[#This Row],[ALL5]]+Tabella15[[#This Row],[ALL6]]+Tabella15[[#This Row],[ALL22]]+Tabella15[[#This Row],[ALL32]]+Tabella15[[#This Row],[ALL7]]+Tabella15[[#This Row],[ALL8]])*Tabella15[[#This Row],[PUNTO]]</f>
        <v>12</v>
      </c>
      <c r="AN46" s="6" t="s">
        <v>102</v>
      </c>
      <c r="AO46" s="1">
        <v>13</v>
      </c>
      <c r="AP46" s="1" t="s">
        <v>102</v>
      </c>
      <c r="AQ46" s="1" t="s">
        <v>102</v>
      </c>
      <c r="AR46" s="1" t="s">
        <v>102</v>
      </c>
      <c r="AS46" s="1" t="s">
        <v>102</v>
      </c>
      <c r="AT46" s="1" t="s">
        <v>77</v>
      </c>
      <c r="AU46" s="1" t="s">
        <v>77</v>
      </c>
      <c r="AV46" t="s">
        <v>476</v>
      </c>
      <c r="AW46">
        <v>2020</v>
      </c>
      <c r="AX46" t="s">
        <v>477</v>
      </c>
      <c r="AY46" s="2" t="s">
        <v>478</v>
      </c>
      <c r="AZ46" t="s">
        <v>479</v>
      </c>
      <c r="BA46" t="s">
        <v>480</v>
      </c>
      <c r="BC46" t="s">
        <v>381</v>
      </c>
      <c r="BD46" t="s">
        <v>60</v>
      </c>
      <c r="BE46" t="s">
        <v>213</v>
      </c>
      <c r="BF46" t="s">
        <v>482</v>
      </c>
      <c r="BG46" t="s">
        <v>483</v>
      </c>
      <c r="BH46" t="s">
        <v>88</v>
      </c>
      <c r="BI46" t="s">
        <v>481</v>
      </c>
      <c r="BJ46" s="1">
        <v>46</v>
      </c>
      <c r="BK46" s="1">
        <v>38</v>
      </c>
      <c r="BL46" s="1">
        <v>29</v>
      </c>
      <c r="BM46" s="1">
        <v>0</v>
      </c>
      <c r="BN46" s="1">
        <v>46</v>
      </c>
      <c r="BO46"/>
    </row>
    <row r="47" spans="2:67" x14ac:dyDescent="0.55000000000000004">
      <c r="B47" t="s">
        <v>68</v>
      </c>
      <c r="C47" t="s">
        <v>69</v>
      </c>
      <c r="D47" t="s">
        <v>89</v>
      </c>
      <c r="E47" t="s">
        <v>73</v>
      </c>
      <c r="F47" s="4">
        <v>66</v>
      </c>
      <c r="G47" t="s">
        <v>484</v>
      </c>
      <c r="H4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47" s="1">
        <f>(Tabella15[[#This Row],[ALL5]]+Tabella15[[#This Row],[ALL6]]+Tabella15[[#This Row],[ALL22]]+Tabella15[[#This Row],[ALL32]]+Tabella15[[#This Row],[ALL7]]+Tabella15[[#This Row],[ALL8]])</f>
        <v>1</v>
      </c>
      <c r="J47"/>
      <c r="M47" s="21">
        <f>Tabella15[[#This Row],[IOT SPECFIC]]+Tabella15[[#This Row],[MBSE]]+Tabella15[[#This Row],[NEW MODEL]]</f>
        <v>0</v>
      </c>
      <c r="N47" s="21">
        <f>IF(Tabella15[[#This Row],[ALL]]&gt;0,1,0)</f>
        <v>0</v>
      </c>
      <c r="O47" s="1"/>
      <c r="P47" s="21">
        <f>IF(Tabella15[[#This Row],[DEPLOYMENT]]&gt;0,1,0)</f>
        <v>0</v>
      </c>
      <c r="Q47"/>
      <c r="T47" s="21">
        <f>Tabella15[[#This Row],[issues]]+Tabella15[[#This Row],[High Level]]+Tabella15[[#This Row],[ORCHESTRATION]]</f>
        <v>0</v>
      </c>
      <c r="U47" s="21">
        <f>IF(Tabella15[[#This Row],[ALL2]]&gt;0,1,0)</f>
        <v>0</v>
      </c>
      <c r="V47"/>
      <c r="X47">
        <v>1</v>
      </c>
      <c r="Y47" s="21">
        <f>Tabella15[[#This Row],[Logginh]]+Tabella15[[#This Row],[Monitoring]]+Tabella15[[#This Row],[Performance]]</f>
        <v>1</v>
      </c>
      <c r="Z47" s="21">
        <f>IF(Tabella15[[#This Row],[ALL3]]&gt;0,1,0)</f>
        <v>1</v>
      </c>
      <c r="AA47" s="1"/>
      <c r="AB47" s="21">
        <f>IF(Tabella15[[#This Row],[TESTING]]&gt;0,1,0)</f>
        <v>0</v>
      </c>
      <c r="AC47"/>
      <c r="AH47" s="21">
        <f>Tabella15[[#This Row],[PRIVACY]]+Tabella15[[#This Row],[MATURITY MODEL]]+Tabella15[[#This Row],[ADDITIONAL]]+Tabella15[[#This Row],[DEVSECOPS]]+Tabella15[[#This Row],[SECURITY]]</f>
        <v>0</v>
      </c>
      <c r="AI47" s="21">
        <f>IF(Tabella15[[#This Row],[ALL4]]&gt;0,1,0)</f>
        <v>0</v>
      </c>
      <c r="AJ47" s="1"/>
      <c r="AK47" s="1">
        <v>43</v>
      </c>
      <c r="AL47" s="1">
        <f>(Tabella15[[#This Row],[ALL5]]+Tabella15[[#This Row],[ALL6]]+Tabella15[[#This Row],[ALL22]]+Tabella15[[#This Row],[ALL32]]+Tabella15[[#This Row],[ALL7]]+Tabella15[[#This Row],[ALL8]])*Tabella15[[#This Row],[Citazioni distinte]]</f>
        <v>43</v>
      </c>
      <c r="AM47" s="1">
        <f>(Tabella15[[#This Row],[ALL5]]+Tabella15[[#This Row],[ALL6]]+Tabella15[[#This Row],[ALL22]]+Tabella15[[#This Row],[ALL32]]+Tabella15[[#This Row],[ALL7]]+Tabella15[[#This Row],[ALL8]])*Tabella15[[#This Row],[PUNTO]]</f>
        <v>1.32</v>
      </c>
      <c r="AN47" s="6" t="s">
        <v>102</v>
      </c>
      <c r="AO47" s="1">
        <v>4</v>
      </c>
      <c r="AP47" s="1" t="s">
        <v>75</v>
      </c>
      <c r="AQ47" s="1" t="s">
        <v>75</v>
      </c>
      <c r="AR47" s="1" t="s">
        <v>75</v>
      </c>
      <c r="AS47" s="1" t="s">
        <v>75</v>
      </c>
      <c r="AT47" s="1" t="s">
        <v>76</v>
      </c>
      <c r="AU47" s="1" t="s">
        <v>77</v>
      </c>
      <c r="AV47" t="s">
        <v>485</v>
      </c>
      <c r="AW47">
        <v>2016</v>
      </c>
      <c r="AX47" t="s">
        <v>486</v>
      </c>
      <c r="AY47" t="s">
        <v>487</v>
      </c>
      <c r="AZ47" t="s">
        <v>488</v>
      </c>
      <c r="BB47" t="s">
        <v>332</v>
      </c>
      <c r="BE47" t="s">
        <v>213</v>
      </c>
      <c r="BF47" t="s">
        <v>490</v>
      </c>
      <c r="BG47" t="s">
        <v>491</v>
      </c>
      <c r="BH47" t="s">
        <v>88</v>
      </c>
      <c r="BI47" t="s">
        <v>489</v>
      </c>
      <c r="BJ47" s="1">
        <v>23</v>
      </c>
      <c r="BK47" s="1">
        <v>0</v>
      </c>
      <c r="BL47" s="1">
        <v>32</v>
      </c>
      <c r="BM47" s="1">
        <v>23</v>
      </c>
      <c r="BN47" s="1">
        <v>43</v>
      </c>
      <c r="BO47"/>
    </row>
    <row r="48" spans="2:67" x14ac:dyDescent="0.55000000000000004">
      <c r="B48" t="s">
        <v>68</v>
      </c>
      <c r="C48" t="s">
        <v>69</v>
      </c>
      <c r="D48" t="s">
        <v>196</v>
      </c>
      <c r="E48" t="s">
        <v>71</v>
      </c>
      <c r="F48" s="4">
        <v>67</v>
      </c>
      <c r="G48" t="s">
        <v>492</v>
      </c>
      <c r="H4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48" s="1">
        <f>(Tabella15[[#This Row],[ALL5]]+Tabella15[[#This Row],[ALL6]]+Tabella15[[#This Row],[ALL22]]+Tabella15[[#This Row],[ALL32]]+Tabella15[[#This Row],[ALL7]]+Tabella15[[#This Row],[ALL8]])</f>
        <v>2</v>
      </c>
      <c r="J48"/>
      <c r="M48" s="21">
        <f>Tabella15[[#This Row],[IOT SPECFIC]]+Tabella15[[#This Row],[MBSE]]+Tabella15[[#This Row],[NEW MODEL]]</f>
        <v>0</v>
      </c>
      <c r="N48" s="21">
        <f>IF(Tabella15[[#This Row],[ALL]]&gt;0,1,0)</f>
        <v>0</v>
      </c>
      <c r="O48" s="1">
        <v>2</v>
      </c>
      <c r="P48" s="21">
        <f>IF(Tabella15[[#This Row],[DEPLOYMENT]]&gt;0,1,0)</f>
        <v>1</v>
      </c>
      <c r="Q48"/>
      <c r="T48" s="21">
        <f>Tabella15[[#This Row],[issues]]+Tabella15[[#This Row],[High Level]]+Tabella15[[#This Row],[ORCHESTRATION]]</f>
        <v>0</v>
      </c>
      <c r="U48" s="21">
        <f>IF(Tabella15[[#This Row],[ALL2]]&gt;0,1,0)</f>
        <v>0</v>
      </c>
      <c r="V48"/>
      <c r="Y48" s="21">
        <f>Tabella15[[#This Row],[Logginh]]+Tabella15[[#This Row],[Monitoring]]+Tabella15[[#This Row],[Performance]]</f>
        <v>0</v>
      </c>
      <c r="Z48" s="21">
        <f>IF(Tabella15[[#This Row],[ALL3]]&gt;0,1,0)</f>
        <v>0</v>
      </c>
      <c r="AA48" s="1">
        <v>2</v>
      </c>
      <c r="AB48" s="21">
        <f>IF(Tabella15[[#This Row],[TESTING]]&gt;0,1,0)</f>
        <v>1</v>
      </c>
      <c r="AC48"/>
      <c r="AH48" s="21">
        <f>Tabella15[[#This Row],[PRIVACY]]+Tabella15[[#This Row],[MATURITY MODEL]]+Tabella15[[#This Row],[ADDITIONAL]]+Tabella15[[#This Row],[DEVSECOPS]]+Tabella15[[#This Row],[SECURITY]]</f>
        <v>0</v>
      </c>
      <c r="AI48" s="21">
        <f>IF(Tabella15[[#This Row],[ALL4]]&gt;0,1,0)</f>
        <v>0</v>
      </c>
      <c r="AJ48" s="1"/>
      <c r="AK48" s="1">
        <v>7</v>
      </c>
      <c r="AL48" s="1">
        <f>(Tabella15[[#This Row],[ALL5]]+Tabella15[[#This Row],[ALL6]]+Tabella15[[#This Row],[ALL22]]+Tabella15[[#This Row],[ALL32]]+Tabella15[[#This Row],[ALL7]]+Tabella15[[#This Row],[ALL8]])*Tabella15[[#This Row],[Citazioni distinte]]</f>
        <v>14</v>
      </c>
      <c r="AM48" s="1">
        <f>(Tabella15[[#This Row],[ALL5]]+Tabella15[[#This Row],[ALL6]]+Tabella15[[#This Row],[ALL22]]+Tabella15[[#This Row],[ALL32]]+Tabella15[[#This Row],[ALL7]]+Tabella15[[#This Row],[ALL8]])*Tabella15[[#This Row],[PUNTO]]</f>
        <v>5.98</v>
      </c>
      <c r="AN48" s="6" t="s">
        <v>71</v>
      </c>
      <c r="AO48" s="1">
        <v>8</v>
      </c>
      <c r="AP48" s="1" t="s">
        <v>102</v>
      </c>
      <c r="AQ48" s="1" t="s">
        <v>75</v>
      </c>
      <c r="AR48" s="1" t="s">
        <v>102</v>
      </c>
      <c r="AS48" s="1" t="s">
        <v>74</v>
      </c>
      <c r="AT48" s="1" t="s">
        <v>77</v>
      </c>
      <c r="AU48" s="1" t="s">
        <v>77</v>
      </c>
      <c r="AV48" t="s">
        <v>493</v>
      </c>
      <c r="AW48">
        <v>2018</v>
      </c>
      <c r="AX48" t="s">
        <v>494</v>
      </c>
      <c r="AY48" t="s">
        <v>495</v>
      </c>
      <c r="AZ48" t="s">
        <v>496</v>
      </c>
      <c r="BB48" t="s">
        <v>497</v>
      </c>
      <c r="BE48" t="s">
        <v>202</v>
      </c>
      <c r="BF48" t="s">
        <v>499</v>
      </c>
      <c r="BG48" t="s">
        <v>500</v>
      </c>
      <c r="BH48" t="s">
        <v>501</v>
      </c>
      <c r="BI48" t="s">
        <v>498</v>
      </c>
      <c r="BJ48" s="1">
        <v>7</v>
      </c>
      <c r="BK48" s="1">
        <v>0</v>
      </c>
      <c r="BL48" s="1">
        <v>0</v>
      </c>
      <c r="BM48" s="1">
        <v>0</v>
      </c>
      <c r="BN48" s="1">
        <v>7</v>
      </c>
      <c r="BO48"/>
    </row>
    <row r="49" spans="2:67" x14ac:dyDescent="0.55000000000000004">
      <c r="B49" t="s">
        <v>68</v>
      </c>
      <c r="C49" t="s">
        <v>69</v>
      </c>
      <c r="D49" t="s">
        <v>85</v>
      </c>
      <c r="E49" t="s">
        <v>73</v>
      </c>
      <c r="F49" s="4">
        <v>68</v>
      </c>
      <c r="G49" t="s">
        <v>502</v>
      </c>
      <c r="H4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49" s="1">
        <f>(Tabella15[[#This Row],[ALL5]]+Tabella15[[#This Row],[ALL6]]+Tabella15[[#This Row],[ALL22]]+Tabella15[[#This Row],[ALL32]]+Tabella15[[#This Row],[ALL7]]+Tabella15[[#This Row],[ALL8]])</f>
        <v>2</v>
      </c>
      <c r="J49"/>
      <c r="M49" s="21">
        <f>Tabella15[[#This Row],[IOT SPECFIC]]+Tabella15[[#This Row],[MBSE]]+Tabella15[[#This Row],[NEW MODEL]]</f>
        <v>0</v>
      </c>
      <c r="N49" s="21">
        <f>IF(Tabella15[[#This Row],[ALL]]&gt;0,1,0)</f>
        <v>0</v>
      </c>
      <c r="O49" s="1">
        <v>2</v>
      </c>
      <c r="P49" s="21">
        <f>IF(Tabella15[[#This Row],[DEPLOYMENT]]&gt;0,1,0)</f>
        <v>1</v>
      </c>
      <c r="Q49"/>
      <c r="T49" s="21">
        <f>Tabella15[[#This Row],[issues]]+Tabella15[[#This Row],[High Level]]+Tabella15[[#This Row],[ORCHESTRATION]]</f>
        <v>0</v>
      </c>
      <c r="U49" s="21">
        <f>IF(Tabella15[[#This Row],[ALL2]]&gt;0,1,0)</f>
        <v>0</v>
      </c>
      <c r="V49"/>
      <c r="W49">
        <v>1</v>
      </c>
      <c r="Y49" s="21">
        <f>Tabella15[[#This Row],[Logginh]]+Tabella15[[#This Row],[Monitoring]]+Tabella15[[#This Row],[Performance]]</f>
        <v>1</v>
      </c>
      <c r="Z49" s="21">
        <f>IF(Tabella15[[#This Row],[ALL3]]&gt;0,1,0)</f>
        <v>1</v>
      </c>
      <c r="AA49" s="1"/>
      <c r="AB49" s="21">
        <f>IF(Tabella15[[#This Row],[TESTING]]&gt;0,1,0)</f>
        <v>0</v>
      </c>
      <c r="AC49"/>
      <c r="AH49" s="21">
        <f>Tabella15[[#This Row],[PRIVACY]]+Tabella15[[#This Row],[MATURITY MODEL]]+Tabella15[[#This Row],[ADDITIONAL]]+Tabella15[[#This Row],[DEVSECOPS]]+Tabella15[[#This Row],[SECURITY]]</f>
        <v>0</v>
      </c>
      <c r="AI49" s="21">
        <f>IF(Tabella15[[#This Row],[ALL4]]&gt;0,1,0)</f>
        <v>0</v>
      </c>
      <c r="AJ49" s="1"/>
      <c r="AK49" s="1">
        <v>7</v>
      </c>
      <c r="AL49" s="1">
        <f>(Tabella15[[#This Row],[ALL5]]+Tabella15[[#This Row],[ALL6]]+Tabella15[[#This Row],[ALL22]]+Tabella15[[#This Row],[ALL32]]+Tabella15[[#This Row],[ALL7]]+Tabella15[[#This Row],[ALL8]])*Tabella15[[#This Row],[Citazioni distinte]]</f>
        <v>14</v>
      </c>
      <c r="AM49" s="1">
        <f>(Tabella15[[#This Row],[ALL5]]+Tabella15[[#This Row],[ALL6]]+Tabella15[[#This Row],[ALL22]]+Tabella15[[#This Row],[ALL32]]+Tabella15[[#This Row],[ALL7]]+Tabella15[[#This Row],[ALL8]])*Tabella15[[#This Row],[PUNTO]]</f>
        <v>4.62</v>
      </c>
      <c r="AN49" s="6" t="s">
        <v>73</v>
      </c>
      <c r="AO49" s="1">
        <v>8</v>
      </c>
      <c r="AP49" s="1" t="s">
        <v>74</v>
      </c>
      <c r="AQ49" s="1" t="s">
        <v>74</v>
      </c>
      <c r="AR49" s="1" t="s">
        <v>74</v>
      </c>
      <c r="AS49" s="1" t="s">
        <v>75</v>
      </c>
      <c r="AT49" s="1" t="s">
        <v>77</v>
      </c>
      <c r="AU49" s="1" t="s">
        <v>77</v>
      </c>
      <c r="AV49" t="s">
        <v>503</v>
      </c>
      <c r="AW49">
        <v>2023</v>
      </c>
      <c r="AX49" t="s">
        <v>504</v>
      </c>
      <c r="AY49" t="s">
        <v>505</v>
      </c>
      <c r="AZ49" t="s">
        <v>506</v>
      </c>
      <c r="BB49" t="s">
        <v>507</v>
      </c>
      <c r="BE49" t="s">
        <v>85</v>
      </c>
      <c r="BF49" t="s">
        <v>509</v>
      </c>
      <c r="BG49" t="s">
        <v>510</v>
      </c>
      <c r="BH49" t="s">
        <v>511</v>
      </c>
      <c r="BI49" t="s">
        <v>508</v>
      </c>
      <c r="BJ49" s="1">
        <v>7</v>
      </c>
      <c r="BK49" s="1">
        <v>0</v>
      </c>
      <c r="BL49" s="1">
        <v>2</v>
      </c>
      <c r="BM49" s="1">
        <v>0</v>
      </c>
      <c r="BN49" s="1">
        <v>7</v>
      </c>
      <c r="BO49"/>
    </row>
    <row r="50" spans="2:67" x14ac:dyDescent="0.55000000000000004">
      <c r="B50" t="s">
        <v>68</v>
      </c>
      <c r="C50" t="s">
        <v>69</v>
      </c>
      <c r="D50" t="s">
        <v>207</v>
      </c>
      <c r="E50" t="s">
        <v>71</v>
      </c>
      <c r="F50" s="4">
        <v>70</v>
      </c>
      <c r="G50" t="s">
        <v>512</v>
      </c>
      <c r="H5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50" s="1">
        <f>(Tabella15[[#This Row],[ALL5]]+Tabella15[[#This Row],[ALL6]]+Tabella15[[#This Row],[ALL22]]+Tabella15[[#This Row],[ALL32]]+Tabella15[[#This Row],[ALL7]]+Tabella15[[#This Row],[ALL8]])</f>
        <v>2</v>
      </c>
      <c r="J50"/>
      <c r="M50" s="21">
        <f>Tabella15[[#This Row],[IOT SPECFIC]]+Tabella15[[#This Row],[MBSE]]+Tabella15[[#This Row],[NEW MODEL]]</f>
        <v>0</v>
      </c>
      <c r="N50" s="21">
        <f>IF(Tabella15[[#This Row],[ALL]]&gt;0,1,0)</f>
        <v>0</v>
      </c>
      <c r="O50" s="1">
        <v>2</v>
      </c>
      <c r="P50" s="21">
        <f>IF(Tabella15[[#This Row],[DEPLOYMENT]]&gt;0,1,0)</f>
        <v>1</v>
      </c>
      <c r="Q50"/>
      <c r="T50" s="21">
        <f>Tabella15[[#This Row],[issues]]+Tabella15[[#This Row],[High Level]]+Tabella15[[#This Row],[ORCHESTRATION]]</f>
        <v>0</v>
      </c>
      <c r="U50" s="21">
        <f>IF(Tabella15[[#This Row],[ALL2]]&gt;0,1,0)</f>
        <v>0</v>
      </c>
      <c r="V50"/>
      <c r="W50">
        <v>2</v>
      </c>
      <c r="Y50" s="21">
        <f>Tabella15[[#This Row],[Logginh]]+Tabella15[[#This Row],[Monitoring]]+Tabella15[[#This Row],[Performance]]</f>
        <v>2</v>
      </c>
      <c r="Z50" s="21">
        <f>IF(Tabella15[[#This Row],[ALL3]]&gt;0,1,0)</f>
        <v>1</v>
      </c>
      <c r="AA50" s="1"/>
      <c r="AB50" s="21">
        <f>IF(Tabella15[[#This Row],[TESTING]]&gt;0,1,0)</f>
        <v>0</v>
      </c>
      <c r="AC50"/>
      <c r="AH50" s="21">
        <f>Tabella15[[#This Row],[PRIVACY]]+Tabella15[[#This Row],[MATURITY MODEL]]+Tabella15[[#This Row],[ADDITIONAL]]+Tabella15[[#This Row],[DEVSECOPS]]+Tabella15[[#This Row],[SECURITY]]</f>
        <v>0</v>
      </c>
      <c r="AI50" s="21">
        <f>IF(Tabella15[[#This Row],[ALL4]]&gt;0,1,0)</f>
        <v>0</v>
      </c>
      <c r="AJ50" s="1">
        <v>-1</v>
      </c>
      <c r="AK50" s="1">
        <v>5</v>
      </c>
      <c r="AL50" s="1">
        <f>(Tabella15[[#This Row],[ALL5]]+Tabella15[[#This Row],[ALL6]]+Tabella15[[#This Row],[ALL22]]+Tabella15[[#This Row],[ALL32]]+Tabella15[[#This Row],[ALL7]]+Tabella15[[#This Row],[ALL8]])*Tabella15[[#This Row],[Citazioni distinte]]</f>
        <v>10</v>
      </c>
      <c r="AM50" s="1">
        <f>(Tabella15[[#This Row],[ALL5]]+Tabella15[[#This Row],[ALL6]]+Tabella15[[#This Row],[ALL22]]+Tabella15[[#This Row],[ALL32]]+Tabella15[[#This Row],[ALL7]]+Tabella15[[#This Row],[ALL8]])*Tabella15[[#This Row],[PUNTO]]</f>
        <v>1.98</v>
      </c>
      <c r="AN50" s="6" t="s">
        <v>102</v>
      </c>
      <c r="AO50" s="1">
        <v>3</v>
      </c>
      <c r="AP50" s="1" t="s">
        <v>75</v>
      </c>
      <c r="AQ50" s="1" t="s">
        <v>75</v>
      </c>
      <c r="AR50" s="1" t="s">
        <v>75</v>
      </c>
      <c r="AS50" s="1" t="s">
        <v>327</v>
      </c>
      <c r="AT50" s="1" t="s">
        <v>76</v>
      </c>
      <c r="AU50" s="1" t="s">
        <v>77</v>
      </c>
      <c r="AV50" t="s">
        <v>513</v>
      </c>
      <c r="AW50">
        <v>2016</v>
      </c>
      <c r="AX50" t="s">
        <v>514</v>
      </c>
      <c r="AY50" s="2" t="s">
        <v>515</v>
      </c>
      <c r="AZ50" t="s">
        <v>516</v>
      </c>
      <c r="BA50" t="s">
        <v>517</v>
      </c>
      <c r="BC50" t="s">
        <v>518</v>
      </c>
      <c r="BD50" t="s">
        <v>60</v>
      </c>
      <c r="BE50" t="s">
        <v>85</v>
      </c>
      <c r="BF50" t="s">
        <v>520</v>
      </c>
      <c r="BG50" t="s">
        <v>521</v>
      </c>
      <c r="BH50" t="s">
        <v>522</v>
      </c>
      <c r="BI50" t="s">
        <v>519</v>
      </c>
      <c r="BJ50" s="1">
        <v>5</v>
      </c>
      <c r="BK50" s="1">
        <v>5</v>
      </c>
      <c r="BL50" s="1">
        <v>3</v>
      </c>
      <c r="BM50" s="1">
        <v>0</v>
      </c>
      <c r="BN50" s="1">
        <v>5</v>
      </c>
      <c r="BO50"/>
    </row>
    <row r="51" spans="2:67" x14ac:dyDescent="0.55000000000000004">
      <c r="B51" t="s">
        <v>122</v>
      </c>
      <c r="C51" t="s">
        <v>123</v>
      </c>
      <c r="D51" t="s">
        <v>232</v>
      </c>
      <c r="E51" t="s">
        <v>102</v>
      </c>
      <c r="F51" s="4">
        <v>74</v>
      </c>
      <c r="G51" t="s">
        <v>523</v>
      </c>
      <c r="H5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51" s="1">
        <f>(Tabella15[[#This Row],[ALL5]]+Tabella15[[#This Row],[ALL6]]+Tabella15[[#This Row],[ALL22]]+Tabella15[[#This Row],[ALL32]]+Tabella15[[#This Row],[ALL7]]+Tabella15[[#This Row],[ALL8]])</f>
        <v>1</v>
      </c>
      <c r="J51"/>
      <c r="M51" s="21">
        <f>Tabella15[[#This Row],[IOT SPECFIC]]+Tabella15[[#This Row],[MBSE]]+Tabella15[[#This Row],[NEW MODEL]]</f>
        <v>0</v>
      </c>
      <c r="N51" s="21">
        <f>IF(Tabella15[[#This Row],[ALL]]&gt;0,1,0)</f>
        <v>0</v>
      </c>
      <c r="O51" s="1"/>
      <c r="P51" s="21">
        <f>IF(Tabella15[[#This Row],[DEPLOYMENT]]&gt;0,1,0)</f>
        <v>0</v>
      </c>
      <c r="Q51">
        <v>1</v>
      </c>
      <c r="S51">
        <v>2</v>
      </c>
      <c r="T51" s="21">
        <f>Tabella15[[#This Row],[issues]]+Tabella15[[#This Row],[High Level]]+Tabella15[[#This Row],[ORCHESTRATION]]</f>
        <v>3</v>
      </c>
      <c r="U51" s="21">
        <f>IF(Tabella15[[#This Row],[ALL2]]&gt;0,1,0)</f>
        <v>1</v>
      </c>
      <c r="V51"/>
      <c r="Y51" s="21">
        <f>Tabella15[[#This Row],[Logginh]]+Tabella15[[#This Row],[Monitoring]]+Tabella15[[#This Row],[Performance]]</f>
        <v>0</v>
      </c>
      <c r="Z51" s="21">
        <f>IF(Tabella15[[#This Row],[ALL3]]&gt;0,1,0)</f>
        <v>0</v>
      </c>
      <c r="AA51" s="1"/>
      <c r="AB51" s="21">
        <f>IF(Tabella15[[#This Row],[TESTING]]&gt;0,1,0)</f>
        <v>0</v>
      </c>
      <c r="AC51"/>
      <c r="AH51" s="21">
        <f>Tabella15[[#This Row],[PRIVACY]]+Tabella15[[#This Row],[MATURITY MODEL]]+Tabella15[[#This Row],[ADDITIONAL]]+Tabella15[[#This Row],[DEVSECOPS]]+Tabella15[[#This Row],[SECURITY]]</f>
        <v>0</v>
      </c>
      <c r="AI51" s="21">
        <f>IF(Tabella15[[#This Row],[ALL4]]&gt;0,1,0)</f>
        <v>0</v>
      </c>
      <c r="AJ51" s="1"/>
      <c r="AK51" s="1">
        <v>11</v>
      </c>
      <c r="AL51" s="1">
        <f>(Tabella15[[#This Row],[ALL5]]+Tabella15[[#This Row],[ALL6]]+Tabella15[[#This Row],[ALL22]]+Tabella15[[#This Row],[ALL32]]+Tabella15[[#This Row],[ALL7]]+Tabella15[[#This Row],[ALL8]])*Tabella15[[#This Row],[Citazioni distinte]]</f>
        <v>11</v>
      </c>
      <c r="AM51" s="1">
        <f>(Tabella15[[#This Row],[ALL5]]+Tabella15[[#This Row],[ALL6]]+Tabella15[[#This Row],[ALL22]]+Tabella15[[#This Row],[ALL32]]+Tabella15[[#This Row],[ALL7]]+Tabella15[[#This Row],[ALL8]])*Tabella15[[#This Row],[PUNTO]]</f>
        <v>3.33</v>
      </c>
      <c r="AN51" s="6" t="s">
        <v>102</v>
      </c>
      <c r="AO51" s="1">
        <v>19</v>
      </c>
      <c r="AP51" s="1" t="s">
        <v>102</v>
      </c>
      <c r="AQ51" s="1" t="s">
        <v>102</v>
      </c>
      <c r="AR51" s="1" t="s">
        <v>102</v>
      </c>
      <c r="AS51" s="1" t="s">
        <v>75</v>
      </c>
      <c r="AT51" s="1" t="s">
        <v>77</v>
      </c>
      <c r="AU51" s="1" t="s">
        <v>77</v>
      </c>
      <c r="AV51" t="s">
        <v>524</v>
      </c>
      <c r="AW51">
        <v>2024</v>
      </c>
      <c r="AX51" t="s">
        <v>525</v>
      </c>
      <c r="AY51" t="s">
        <v>526</v>
      </c>
      <c r="AZ51" t="s">
        <v>527</v>
      </c>
      <c r="BB51" t="s">
        <v>459</v>
      </c>
      <c r="BE51" t="s">
        <v>131</v>
      </c>
      <c r="BF51" t="s">
        <v>529</v>
      </c>
      <c r="BG51" t="s">
        <v>530</v>
      </c>
      <c r="BH51" t="s">
        <v>88</v>
      </c>
      <c r="BI51" t="s">
        <v>528</v>
      </c>
      <c r="BJ51" s="1">
        <v>11</v>
      </c>
      <c r="BK51" s="1">
        <v>0</v>
      </c>
      <c r="BL51" s="1">
        <v>10</v>
      </c>
      <c r="BM51" s="1">
        <v>0</v>
      </c>
      <c r="BN51" s="1">
        <v>11</v>
      </c>
      <c r="BO51"/>
    </row>
    <row r="52" spans="2:67" x14ac:dyDescent="0.55000000000000004">
      <c r="B52" t="s">
        <v>68</v>
      </c>
      <c r="C52" t="s">
        <v>69</v>
      </c>
      <c r="D52" t="s">
        <v>100</v>
      </c>
      <c r="E52" t="s">
        <v>71</v>
      </c>
      <c r="F52" s="4">
        <v>77</v>
      </c>
      <c r="G52" t="s">
        <v>531</v>
      </c>
      <c r="H5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2.33</v>
      </c>
      <c r="I52" s="1">
        <f>(Tabella15[[#This Row],[ALL5]]+Tabella15[[#This Row],[ALL6]]+Tabella15[[#This Row],[ALL22]]+Tabella15[[#This Row],[ALL32]]+Tabella15[[#This Row],[ALL7]]+Tabella15[[#This Row],[ALL8]])</f>
        <v>1</v>
      </c>
      <c r="J52">
        <v>1</v>
      </c>
      <c r="M52" s="21">
        <f>Tabella15[[#This Row],[IOT SPECFIC]]+Tabella15[[#This Row],[MBSE]]+Tabella15[[#This Row],[NEW MODEL]]</f>
        <v>1</v>
      </c>
      <c r="N52" s="21">
        <f>IF(Tabella15[[#This Row],[ALL]]&gt;0,1,0)</f>
        <v>1</v>
      </c>
      <c r="O52" s="1"/>
      <c r="P52" s="21">
        <f>IF(Tabella15[[#This Row],[DEPLOYMENT]]&gt;0,1,0)</f>
        <v>0</v>
      </c>
      <c r="Q52"/>
      <c r="T52" s="21">
        <f>Tabella15[[#This Row],[issues]]+Tabella15[[#This Row],[High Level]]+Tabella15[[#This Row],[ORCHESTRATION]]</f>
        <v>0</v>
      </c>
      <c r="U52" s="21">
        <f>IF(Tabella15[[#This Row],[ALL2]]&gt;0,1,0)</f>
        <v>0</v>
      </c>
      <c r="V52"/>
      <c r="Y52" s="21">
        <f>Tabella15[[#This Row],[Logginh]]+Tabella15[[#This Row],[Monitoring]]+Tabella15[[#This Row],[Performance]]</f>
        <v>0</v>
      </c>
      <c r="Z52" s="21">
        <f>IF(Tabella15[[#This Row],[ALL3]]&gt;0,1,0)</f>
        <v>0</v>
      </c>
      <c r="AA52" s="1"/>
      <c r="AB52" s="21">
        <f>IF(Tabella15[[#This Row],[TESTING]]&gt;0,1,0)</f>
        <v>0</v>
      </c>
      <c r="AC52"/>
      <c r="AH52" s="21">
        <f>Tabella15[[#This Row],[PRIVACY]]+Tabella15[[#This Row],[MATURITY MODEL]]+Tabella15[[#This Row],[ADDITIONAL]]+Tabella15[[#This Row],[DEVSECOPS]]+Tabella15[[#This Row],[SECURITY]]</f>
        <v>0</v>
      </c>
      <c r="AI52" s="21">
        <f>IF(Tabella15[[#This Row],[ALL4]]&gt;0,1,0)</f>
        <v>0</v>
      </c>
      <c r="AJ52" s="1"/>
      <c r="AK52" s="1">
        <v>1</v>
      </c>
      <c r="AL52" s="1">
        <f>(Tabella15[[#This Row],[ALL5]]+Tabella15[[#This Row],[ALL6]]+Tabella15[[#This Row],[ALL22]]+Tabella15[[#This Row],[ALL32]]+Tabella15[[#This Row],[ALL7]]+Tabella15[[#This Row],[ALL8]])*Tabella15[[#This Row],[Citazioni distinte]]</f>
        <v>1</v>
      </c>
      <c r="AM52" s="1">
        <f>(Tabella15[[#This Row],[ALL5]]+Tabella15[[#This Row],[ALL6]]+Tabella15[[#This Row],[ALL22]]+Tabella15[[#This Row],[ALL32]]+Tabella15[[#This Row],[ALL7]]+Tabella15[[#This Row],[ALL8]])*Tabella15[[#This Row],[PUNTO]]</f>
        <v>2.33</v>
      </c>
      <c r="AN52" s="6" t="s">
        <v>73</v>
      </c>
      <c r="AO52" s="1">
        <v>6</v>
      </c>
      <c r="AP52" s="1" t="s">
        <v>102</v>
      </c>
      <c r="AQ52" s="1" t="s">
        <v>75</v>
      </c>
      <c r="AR52" s="1" t="s">
        <v>102</v>
      </c>
      <c r="AS52" s="1" t="s">
        <v>327</v>
      </c>
      <c r="AT52" s="1" t="s">
        <v>76</v>
      </c>
      <c r="AU52" s="1" t="s">
        <v>77</v>
      </c>
      <c r="AV52" t="s">
        <v>532</v>
      </c>
      <c r="AW52">
        <v>2020</v>
      </c>
      <c r="AX52" t="s">
        <v>533</v>
      </c>
      <c r="AY52" s="2" t="s">
        <v>534</v>
      </c>
      <c r="AZ52" t="s">
        <v>535</v>
      </c>
      <c r="BA52" t="s">
        <v>536</v>
      </c>
      <c r="BC52" t="s">
        <v>313</v>
      </c>
      <c r="BD52" t="s">
        <v>60</v>
      </c>
      <c r="BE52" t="s">
        <v>100</v>
      </c>
      <c r="BF52" t="s">
        <v>538</v>
      </c>
      <c r="BG52" t="s">
        <v>539</v>
      </c>
      <c r="BH52" t="s">
        <v>540</v>
      </c>
      <c r="BI52" t="s">
        <v>537</v>
      </c>
      <c r="BJ52" s="1">
        <v>1</v>
      </c>
      <c r="BK52" s="1">
        <v>1</v>
      </c>
      <c r="BL52" s="1">
        <v>0</v>
      </c>
      <c r="BM52" s="1">
        <v>0</v>
      </c>
      <c r="BN52" s="1">
        <v>1</v>
      </c>
      <c r="BO52"/>
    </row>
    <row r="53" spans="2:67" x14ac:dyDescent="0.55000000000000004">
      <c r="B53" t="s">
        <v>122</v>
      </c>
      <c r="C53" t="s">
        <v>123</v>
      </c>
      <c r="D53" t="s">
        <v>232</v>
      </c>
      <c r="E53" t="s">
        <v>71</v>
      </c>
      <c r="F53" s="4">
        <v>78</v>
      </c>
      <c r="G53" t="s">
        <v>541</v>
      </c>
      <c r="H5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53" s="1">
        <f>(Tabella15[[#This Row],[ALL5]]+Tabella15[[#This Row],[ALL6]]+Tabella15[[#This Row],[ALL22]]+Tabella15[[#This Row],[ALL32]]+Tabella15[[#This Row],[ALL7]]+Tabella15[[#This Row],[ALL8]])</f>
        <v>1</v>
      </c>
      <c r="J53"/>
      <c r="M53" s="21">
        <f>Tabella15[[#This Row],[IOT SPECFIC]]+Tabella15[[#This Row],[MBSE]]+Tabella15[[#This Row],[NEW MODEL]]</f>
        <v>0</v>
      </c>
      <c r="N53" s="21">
        <f>IF(Tabella15[[#This Row],[ALL]]&gt;0,1,0)</f>
        <v>0</v>
      </c>
      <c r="O53" s="1">
        <v>1</v>
      </c>
      <c r="P53" s="21">
        <f>IF(Tabella15[[#This Row],[DEPLOYMENT]]&gt;0,1,0)</f>
        <v>1</v>
      </c>
      <c r="Q53"/>
      <c r="T53" s="21">
        <f>Tabella15[[#This Row],[issues]]+Tabella15[[#This Row],[High Level]]+Tabella15[[#This Row],[ORCHESTRATION]]</f>
        <v>0</v>
      </c>
      <c r="U53" s="21">
        <f>IF(Tabella15[[#This Row],[ALL2]]&gt;0,1,0)</f>
        <v>0</v>
      </c>
      <c r="V53"/>
      <c r="Y53" s="21">
        <f>Tabella15[[#This Row],[Logginh]]+Tabella15[[#This Row],[Monitoring]]+Tabella15[[#This Row],[Performance]]</f>
        <v>0</v>
      </c>
      <c r="Z53" s="21">
        <f>IF(Tabella15[[#This Row],[ALL3]]&gt;0,1,0)</f>
        <v>0</v>
      </c>
      <c r="AA53" s="1"/>
      <c r="AB53" s="21">
        <f>IF(Tabella15[[#This Row],[TESTING]]&gt;0,1,0)</f>
        <v>0</v>
      </c>
      <c r="AC53"/>
      <c r="AH53" s="21">
        <f>Tabella15[[#This Row],[PRIVACY]]+Tabella15[[#This Row],[MATURITY MODEL]]+Tabella15[[#This Row],[ADDITIONAL]]+Tabella15[[#This Row],[DEVSECOPS]]+Tabella15[[#This Row],[SECURITY]]</f>
        <v>0</v>
      </c>
      <c r="AI53" s="21">
        <f>IF(Tabella15[[#This Row],[ALL4]]&gt;0,1,0)</f>
        <v>0</v>
      </c>
      <c r="AJ53" s="1"/>
      <c r="AK53" s="1">
        <v>5</v>
      </c>
      <c r="AL53" s="1">
        <f>(Tabella15[[#This Row],[ALL5]]+Tabella15[[#This Row],[ALL6]]+Tabella15[[#This Row],[ALL22]]+Tabella15[[#This Row],[ALL32]]+Tabella15[[#This Row],[ALL7]]+Tabella15[[#This Row],[ALL8]])*Tabella15[[#This Row],[Citazioni distinte]]</f>
        <v>5</v>
      </c>
      <c r="AM53" s="1">
        <f>(Tabella15[[#This Row],[ALL5]]+Tabella15[[#This Row],[ALL6]]+Tabella15[[#This Row],[ALL22]]+Tabella15[[#This Row],[ALL32]]+Tabella15[[#This Row],[ALL7]]+Tabella15[[#This Row],[ALL8]])*Tabella15[[#This Row],[PUNTO]]</f>
        <v>0.99</v>
      </c>
      <c r="AN53" s="6" t="s">
        <v>102</v>
      </c>
      <c r="AO53" s="1">
        <v>6</v>
      </c>
      <c r="AP53" s="1" t="s">
        <v>75</v>
      </c>
      <c r="AQ53" s="1" t="s">
        <v>75</v>
      </c>
      <c r="AR53" s="1" t="s">
        <v>75</v>
      </c>
      <c r="AS53" s="1" t="s">
        <v>327</v>
      </c>
      <c r="AT53" s="1" t="s">
        <v>76</v>
      </c>
      <c r="AU53" s="1" t="s">
        <v>76</v>
      </c>
      <c r="AV53" t="s">
        <v>542</v>
      </c>
      <c r="AW53">
        <v>2021</v>
      </c>
      <c r="AX53" t="s">
        <v>543</v>
      </c>
      <c r="AY53" t="s">
        <v>544</v>
      </c>
      <c r="AZ53" t="s">
        <v>545</v>
      </c>
      <c r="BB53" t="s">
        <v>546</v>
      </c>
      <c r="BE53" t="s">
        <v>131</v>
      </c>
      <c r="BF53" t="s">
        <v>548</v>
      </c>
      <c r="BG53" t="s">
        <v>549</v>
      </c>
      <c r="BH53" t="s">
        <v>88</v>
      </c>
      <c r="BI53" t="s">
        <v>547</v>
      </c>
      <c r="BJ53" s="1">
        <v>5</v>
      </c>
      <c r="BK53" s="1">
        <v>0</v>
      </c>
      <c r="BL53" s="1">
        <v>0</v>
      </c>
      <c r="BM53" s="1">
        <v>0</v>
      </c>
      <c r="BN53" s="1">
        <v>5</v>
      </c>
      <c r="BO53"/>
    </row>
    <row r="54" spans="2:67" x14ac:dyDescent="0.55000000000000004">
      <c r="B54" t="s">
        <v>68</v>
      </c>
      <c r="C54" t="s">
        <v>69</v>
      </c>
      <c r="D54" t="s">
        <v>232</v>
      </c>
      <c r="E54" t="s">
        <v>71</v>
      </c>
      <c r="F54" s="4">
        <v>79</v>
      </c>
      <c r="G54" t="s">
        <v>550</v>
      </c>
      <c r="H5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54" s="1">
        <f>(Tabella15[[#This Row],[ALL5]]+Tabella15[[#This Row],[ALL6]]+Tabella15[[#This Row],[ALL22]]+Tabella15[[#This Row],[ALL32]]+Tabella15[[#This Row],[ALL7]]+Tabella15[[#This Row],[ALL8]])</f>
        <v>1</v>
      </c>
      <c r="J54"/>
      <c r="M54" s="21">
        <f>Tabella15[[#This Row],[IOT SPECFIC]]+Tabella15[[#This Row],[MBSE]]+Tabella15[[#This Row],[NEW MODEL]]</f>
        <v>0</v>
      </c>
      <c r="N54" s="21">
        <f>IF(Tabella15[[#This Row],[ALL]]&gt;0,1,0)</f>
        <v>0</v>
      </c>
      <c r="O54" s="1"/>
      <c r="P54" s="21">
        <f>IF(Tabella15[[#This Row],[DEPLOYMENT]]&gt;0,1,0)</f>
        <v>0</v>
      </c>
      <c r="Q54"/>
      <c r="S54">
        <v>1</v>
      </c>
      <c r="T54" s="21">
        <f>Tabella15[[#This Row],[issues]]+Tabella15[[#This Row],[High Level]]+Tabella15[[#This Row],[ORCHESTRATION]]</f>
        <v>1</v>
      </c>
      <c r="U54" s="21">
        <f>IF(Tabella15[[#This Row],[ALL2]]&gt;0,1,0)</f>
        <v>1</v>
      </c>
      <c r="V54"/>
      <c r="Y54" s="21">
        <f>Tabella15[[#This Row],[Logginh]]+Tabella15[[#This Row],[Monitoring]]+Tabella15[[#This Row],[Performance]]</f>
        <v>0</v>
      </c>
      <c r="Z54" s="21">
        <f>IF(Tabella15[[#This Row],[ALL3]]&gt;0,1,0)</f>
        <v>0</v>
      </c>
      <c r="AA54" s="1"/>
      <c r="AB54" s="21">
        <f>IF(Tabella15[[#This Row],[TESTING]]&gt;0,1,0)</f>
        <v>0</v>
      </c>
      <c r="AC54"/>
      <c r="AH54" s="21">
        <f>Tabella15[[#This Row],[PRIVACY]]+Tabella15[[#This Row],[MATURITY MODEL]]+Tabella15[[#This Row],[ADDITIONAL]]+Tabella15[[#This Row],[DEVSECOPS]]+Tabella15[[#This Row],[SECURITY]]</f>
        <v>0</v>
      </c>
      <c r="AI54" s="21">
        <f>IF(Tabella15[[#This Row],[ALL4]]&gt;0,1,0)</f>
        <v>0</v>
      </c>
      <c r="AJ54" s="1"/>
      <c r="AK54" s="1">
        <v>2</v>
      </c>
      <c r="AL54" s="1">
        <f>(Tabella15[[#This Row],[ALL5]]+Tabella15[[#This Row],[ALL6]]+Tabella15[[#This Row],[ALL22]]+Tabella15[[#This Row],[ALL32]]+Tabella15[[#This Row],[ALL7]]+Tabella15[[#This Row],[ALL8]])*Tabella15[[#This Row],[Citazioni distinte]]</f>
        <v>2</v>
      </c>
      <c r="AM54" s="1">
        <f>(Tabella15[[#This Row],[ALL5]]+Tabella15[[#This Row],[ALL6]]+Tabella15[[#This Row],[ALL22]]+Tabella15[[#This Row],[ALL32]]+Tabella15[[#This Row],[ALL7]]+Tabella15[[#This Row],[ALL8]])*Tabella15[[#This Row],[PUNTO]]</f>
        <v>1.32</v>
      </c>
      <c r="AN54" s="6" t="s">
        <v>73</v>
      </c>
      <c r="AO54" s="1">
        <v>6</v>
      </c>
      <c r="AP54" s="1" t="s">
        <v>75</v>
      </c>
      <c r="AQ54" s="1" t="s">
        <v>75</v>
      </c>
      <c r="AR54" s="1" t="s">
        <v>75</v>
      </c>
      <c r="AS54" s="1" t="s">
        <v>75</v>
      </c>
      <c r="AT54" s="1" t="s">
        <v>76</v>
      </c>
      <c r="AU54" s="1" t="s">
        <v>76</v>
      </c>
      <c r="AV54" t="s">
        <v>551</v>
      </c>
      <c r="AW54">
        <v>2022</v>
      </c>
      <c r="AX54" t="s">
        <v>552</v>
      </c>
      <c r="AY54" t="s">
        <v>553</v>
      </c>
      <c r="AZ54" t="s">
        <v>554</v>
      </c>
      <c r="BB54" t="s">
        <v>555</v>
      </c>
      <c r="BE54" t="s">
        <v>131</v>
      </c>
      <c r="BF54" t="s">
        <v>557</v>
      </c>
      <c r="BG54" t="s">
        <v>558</v>
      </c>
      <c r="BH54" t="s">
        <v>559</v>
      </c>
      <c r="BI54" t="s">
        <v>556</v>
      </c>
      <c r="BJ54" s="1">
        <v>1</v>
      </c>
      <c r="BK54" s="1">
        <v>0</v>
      </c>
      <c r="BL54" s="1">
        <v>0</v>
      </c>
      <c r="BM54" s="1">
        <v>2</v>
      </c>
      <c r="BN54" s="1">
        <v>2</v>
      </c>
      <c r="BO54"/>
    </row>
    <row r="55" spans="2:67" x14ac:dyDescent="0.55000000000000004">
      <c r="B55" t="s">
        <v>122</v>
      </c>
      <c r="C55" t="s">
        <v>123</v>
      </c>
      <c r="D55" t="s">
        <v>85</v>
      </c>
      <c r="E55" t="s">
        <v>73</v>
      </c>
      <c r="F55" s="4">
        <v>80</v>
      </c>
      <c r="G55" t="s">
        <v>560</v>
      </c>
      <c r="H5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55" s="1">
        <f>(Tabella15[[#This Row],[ALL5]]+Tabella15[[#This Row],[ALL6]]+Tabella15[[#This Row],[ALL22]]+Tabella15[[#This Row],[ALL32]]+Tabella15[[#This Row],[ALL7]]+Tabella15[[#This Row],[ALL8]])</f>
        <v>4</v>
      </c>
      <c r="J55"/>
      <c r="L55">
        <v>2</v>
      </c>
      <c r="M55" s="21">
        <f>Tabella15[[#This Row],[IOT SPECFIC]]+Tabella15[[#This Row],[MBSE]]+Tabella15[[#This Row],[NEW MODEL]]</f>
        <v>2</v>
      </c>
      <c r="N55" s="21">
        <f>IF(Tabella15[[#This Row],[ALL]]&gt;0,1,0)</f>
        <v>1</v>
      </c>
      <c r="O55" s="1">
        <v>2</v>
      </c>
      <c r="P55" s="21">
        <f>IF(Tabella15[[#This Row],[DEPLOYMENT]]&gt;0,1,0)</f>
        <v>1</v>
      </c>
      <c r="Q55">
        <v>2</v>
      </c>
      <c r="T55" s="21">
        <f>Tabella15[[#This Row],[issues]]+Tabella15[[#This Row],[High Level]]+Tabella15[[#This Row],[ORCHESTRATION]]</f>
        <v>2</v>
      </c>
      <c r="U55" s="21">
        <f>IF(Tabella15[[#This Row],[ALL2]]&gt;0,1,0)</f>
        <v>1</v>
      </c>
      <c r="V55"/>
      <c r="W55">
        <v>1</v>
      </c>
      <c r="Y55" s="21">
        <f>Tabella15[[#This Row],[Logginh]]+Tabella15[[#This Row],[Monitoring]]+Tabella15[[#This Row],[Performance]]</f>
        <v>1</v>
      </c>
      <c r="Z55" s="21">
        <f>IF(Tabella15[[#This Row],[ALL3]]&gt;0,1,0)</f>
        <v>1</v>
      </c>
      <c r="AA55" s="1"/>
      <c r="AB55" s="21">
        <f>IF(Tabella15[[#This Row],[TESTING]]&gt;0,1,0)</f>
        <v>0</v>
      </c>
      <c r="AC55"/>
      <c r="AH55" s="21">
        <f>Tabella15[[#This Row],[PRIVACY]]+Tabella15[[#This Row],[MATURITY MODEL]]+Tabella15[[#This Row],[ADDITIONAL]]+Tabella15[[#This Row],[DEVSECOPS]]+Tabella15[[#This Row],[SECURITY]]</f>
        <v>0</v>
      </c>
      <c r="AI55" s="21">
        <f>IF(Tabella15[[#This Row],[ALL4]]&gt;0,1,0)</f>
        <v>0</v>
      </c>
      <c r="AJ55" s="1"/>
      <c r="AK55" s="1">
        <v>13</v>
      </c>
      <c r="AL55" s="1">
        <f>(Tabella15[[#This Row],[ALL5]]+Tabella15[[#This Row],[ALL6]]+Tabella15[[#This Row],[ALL22]]+Tabella15[[#This Row],[ALL32]]+Tabella15[[#This Row],[ALL7]]+Tabella15[[#This Row],[ALL8]])*Tabella15[[#This Row],[Citazioni distinte]]</f>
        <v>52</v>
      </c>
      <c r="AM55" s="1">
        <f>(Tabella15[[#This Row],[ALL5]]+Tabella15[[#This Row],[ALL6]]+Tabella15[[#This Row],[ALL22]]+Tabella15[[#This Row],[ALL32]]+Tabella15[[#This Row],[ALL7]]+Tabella15[[#This Row],[ALL8]])*Tabella15[[#This Row],[PUNTO]]</f>
        <v>9.24</v>
      </c>
      <c r="AN55" s="6" t="s">
        <v>102</v>
      </c>
      <c r="AO55" s="1">
        <v>15</v>
      </c>
      <c r="AP55" s="1" t="s">
        <v>74</v>
      </c>
      <c r="AQ55" s="1" t="s">
        <v>75</v>
      </c>
      <c r="AR55" s="1" t="s">
        <v>74</v>
      </c>
      <c r="AS55" s="1" t="s">
        <v>74</v>
      </c>
      <c r="AT55" s="1" t="s">
        <v>76</v>
      </c>
      <c r="AU55" s="1" t="s">
        <v>77</v>
      </c>
      <c r="AV55" t="s">
        <v>561</v>
      </c>
      <c r="AW55">
        <v>2021</v>
      </c>
      <c r="AX55" t="s">
        <v>562</v>
      </c>
      <c r="AY55" t="s">
        <v>563</v>
      </c>
      <c r="AZ55" t="s">
        <v>564</v>
      </c>
      <c r="BB55" t="s">
        <v>565</v>
      </c>
      <c r="BE55" t="s">
        <v>85</v>
      </c>
      <c r="BF55" t="s">
        <v>567</v>
      </c>
      <c r="BG55" t="s">
        <v>568</v>
      </c>
      <c r="BH55" t="s">
        <v>88</v>
      </c>
      <c r="BI55" t="s">
        <v>566</v>
      </c>
      <c r="BJ55" s="1">
        <v>13</v>
      </c>
      <c r="BK55" s="1">
        <v>0</v>
      </c>
      <c r="BL55" s="1">
        <v>9</v>
      </c>
      <c r="BM55" s="1">
        <v>0</v>
      </c>
      <c r="BN55" s="1">
        <v>13</v>
      </c>
      <c r="BO55"/>
    </row>
    <row r="56" spans="2:67" x14ac:dyDescent="0.55000000000000004">
      <c r="B56" t="s">
        <v>122</v>
      </c>
      <c r="C56" t="s">
        <v>123</v>
      </c>
      <c r="D56" t="s">
        <v>89</v>
      </c>
      <c r="E56" t="s">
        <v>102</v>
      </c>
      <c r="F56" s="4">
        <v>81</v>
      </c>
      <c r="G56" t="s">
        <v>569</v>
      </c>
      <c r="H5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56" s="1">
        <f>(Tabella15[[#This Row],[ALL5]]+Tabella15[[#This Row],[ALL6]]+Tabella15[[#This Row],[ALL22]]+Tabella15[[#This Row],[ALL32]]+Tabella15[[#This Row],[ALL7]]+Tabella15[[#This Row],[ALL8]])</f>
        <v>1</v>
      </c>
      <c r="J56">
        <v>2</v>
      </c>
      <c r="M56" s="21">
        <f>Tabella15[[#This Row],[IOT SPECFIC]]+Tabella15[[#This Row],[MBSE]]+Tabella15[[#This Row],[NEW MODEL]]</f>
        <v>2</v>
      </c>
      <c r="N56" s="21">
        <f>IF(Tabella15[[#This Row],[ALL]]&gt;0,1,0)</f>
        <v>1</v>
      </c>
      <c r="O56" s="1"/>
      <c r="P56" s="21">
        <f>IF(Tabella15[[#This Row],[DEPLOYMENT]]&gt;0,1,0)</f>
        <v>0</v>
      </c>
      <c r="Q56"/>
      <c r="T56" s="21">
        <f>Tabella15[[#This Row],[issues]]+Tabella15[[#This Row],[High Level]]+Tabella15[[#This Row],[ORCHESTRATION]]</f>
        <v>0</v>
      </c>
      <c r="U56" s="21">
        <f>IF(Tabella15[[#This Row],[ALL2]]&gt;0,1,0)</f>
        <v>0</v>
      </c>
      <c r="V56"/>
      <c r="Y56" s="21">
        <f>Tabella15[[#This Row],[Logginh]]+Tabella15[[#This Row],[Monitoring]]+Tabella15[[#This Row],[Performance]]</f>
        <v>0</v>
      </c>
      <c r="Z56" s="21">
        <f>IF(Tabella15[[#This Row],[ALL3]]&gt;0,1,0)</f>
        <v>0</v>
      </c>
      <c r="AA56" s="1"/>
      <c r="AB56" s="21">
        <f>IF(Tabella15[[#This Row],[TESTING]]&gt;0,1,0)</f>
        <v>0</v>
      </c>
      <c r="AC56"/>
      <c r="AH56" s="21">
        <f>Tabella15[[#This Row],[PRIVACY]]+Tabella15[[#This Row],[MATURITY MODEL]]+Tabella15[[#This Row],[ADDITIONAL]]+Tabella15[[#This Row],[DEVSECOPS]]+Tabella15[[#This Row],[SECURITY]]</f>
        <v>0</v>
      </c>
      <c r="AI56" s="21">
        <f>IF(Tabella15[[#This Row],[ALL4]]&gt;0,1,0)</f>
        <v>0</v>
      </c>
      <c r="AJ56" s="1"/>
      <c r="AK56" s="1">
        <v>52</v>
      </c>
      <c r="AL56" s="1">
        <f>(Tabella15[[#This Row],[ALL5]]+Tabella15[[#This Row],[ALL6]]+Tabella15[[#This Row],[ALL22]]+Tabella15[[#This Row],[ALL32]]+Tabella15[[#This Row],[ALL7]]+Tabella15[[#This Row],[ALL8]])*Tabella15[[#This Row],[Citazioni distinte]]</f>
        <v>52</v>
      </c>
      <c r="AM56" s="1">
        <f>(Tabella15[[#This Row],[ALL5]]+Tabella15[[#This Row],[ALL6]]+Tabella15[[#This Row],[ALL22]]+Tabella15[[#This Row],[ALL32]]+Tabella15[[#This Row],[ALL7]]+Tabella15[[#This Row],[ALL8]])*Tabella15[[#This Row],[PUNTO]]</f>
        <v>4</v>
      </c>
      <c r="AN56" s="6" t="s">
        <v>102</v>
      </c>
      <c r="AO56" s="1">
        <v>26</v>
      </c>
      <c r="AP56" s="1" t="s">
        <v>102</v>
      </c>
      <c r="AQ56" s="1" t="s">
        <v>102</v>
      </c>
      <c r="AR56" s="1" t="s">
        <v>102</v>
      </c>
      <c r="AS56" s="1" t="s">
        <v>102</v>
      </c>
      <c r="AT56" s="1" t="s">
        <v>77</v>
      </c>
      <c r="AU56" s="1" t="s">
        <v>77</v>
      </c>
      <c r="AV56" t="s">
        <v>570</v>
      </c>
      <c r="AW56">
        <v>2022</v>
      </c>
      <c r="AX56" t="s">
        <v>571</v>
      </c>
      <c r="AY56" t="s">
        <v>572</v>
      </c>
      <c r="AZ56" t="s">
        <v>573</v>
      </c>
      <c r="BB56" t="s">
        <v>574</v>
      </c>
      <c r="BE56" t="s">
        <v>131</v>
      </c>
      <c r="BF56" t="s">
        <v>576</v>
      </c>
      <c r="BG56" t="s">
        <v>577</v>
      </c>
      <c r="BH56" t="s">
        <v>578</v>
      </c>
      <c r="BI56" t="s">
        <v>575</v>
      </c>
      <c r="BJ56" s="1">
        <v>28</v>
      </c>
      <c r="BK56" s="1">
        <v>0</v>
      </c>
      <c r="BL56" s="1">
        <v>33</v>
      </c>
      <c r="BM56" s="1">
        <v>0</v>
      </c>
      <c r="BN56" s="1">
        <v>52</v>
      </c>
      <c r="BO56"/>
    </row>
    <row r="57" spans="2:67" x14ac:dyDescent="0.55000000000000004">
      <c r="B57" t="s">
        <v>68</v>
      </c>
      <c r="C57" t="s">
        <v>69</v>
      </c>
      <c r="D57" t="s">
        <v>100</v>
      </c>
      <c r="E57" t="s">
        <v>73</v>
      </c>
      <c r="F57" s="4">
        <v>82</v>
      </c>
      <c r="G57" t="s">
        <v>579</v>
      </c>
      <c r="H5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57" s="1">
        <f>(Tabella15[[#This Row],[ALL5]]+Tabella15[[#This Row],[ALL6]]+Tabella15[[#This Row],[ALL22]]+Tabella15[[#This Row],[ALL32]]+Tabella15[[#This Row],[ALL7]]+Tabella15[[#This Row],[ALL8]])</f>
        <v>1</v>
      </c>
      <c r="J57">
        <v>1</v>
      </c>
      <c r="M57" s="21">
        <f>Tabella15[[#This Row],[IOT SPECFIC]]+Tabella15[[#This Row],[MBSE]]+Tabella15[[#This Row],[NEW MODEL]]</f>
        <v>1</v>
      </c>
      <c r="N57" s="21">
        <f>IF(Tabella15[[#This Row],[ALL]]&gt;0,1,0)</f>
        <v>1</v>
      </c>
      <c r="O57" s="1"/>
      <c r="P57" s="21">
        <f>IF(Tabella15[[#This Row],[DEPLOYMENT]]&gt;0,1,0)</f>
        <v>0</v>
      </c>
      <c r="Q57"/>
      <c r="T57" s="21">
        <f>Tabella15[[#This Row],[issues]]+Tabella15[[#This Row],[High Level]]+Tabella15[[#This Row],[ORCHESTRATION]]</f>
        <v>0</v>
      </c>
      <c r="U57" s="21">
        <f>IF(Tabella15[[#This Row],[ALL2]]&gt;0,1,0)</f>
        <v>0</v>
      </c>
      <c r="V57"/>
      <c r="Y57" s="21">
        <f>Tabella15[[#This Row],[Logginh]]+Tabella15[[#This Row],[Monitoring]]+Tabella15[[#This Row],[Performance]]</f>
        <v>0</v>
      </c>
      <c r="Z57" s="21">
        <f>IF(Tabella15[[#This Row],[ALL3]]&gt;0,1,0)</f>
        <v>0</v>
      </c>
      <c r="AA57" s="1"/>
      <c r="AB57" s="21">
        <f>IF(Tabella15[[#This Row],[TESTING]]&gt;0,1,0)</f>
        <v>0</v>
      </c>
      <c r="AC57"/>
      <c r="AH57" s="21">
        <f>Tabella15[[#This Row],[PRIVACY]]+Tabella15[[#This Row],[MATURITY MODEL]]+Tabella15[[#This Row],[ADDITIONAL]]+Tabella15[[#This Row],[DEVSECOPS]]+Tabella15[[#This Row],[SECURITY]]</f>
        <v>0</v>
      </c>
      <c r="AI57" s="21">
        <f>IF(Tabella15[[#This Row],[ALL4]]&gt;0,1,0)</f>
        <v>0</v>
      </c>
      <c r="AJ57" s="1"/>
      <c r="AK57" s="1">
        <v>1</v>
      </c>
      <c r="AL57" s="1">
        <f>(Tabella15[[#This Row],[ALL5]]+Tabella15[[#This Row],[ALL6]]+Tabella15[[#This Row],[ALL22]]+Tabella15[[#This Row],[ALL32]]+Tabella15[[#This Row],[ALL7]]+Tabella15[[#This Row],[ALL8]])*Tabella15[[#This Row],[Citazioni distinte]]</f>
        <v>1</v>
      </c>
      <c r="AM57" s="1">
        <f>(Tabella15[[#This Row],[ALL5]]+Tabella15[[#This Row],[ALL6]]+Tabella15[[#This Row],[ALL22]]+Tabella15[[#This Row],[ALL32]]+Tabella15[[#This Row],[ALL7]]+Tabella15[[#This Row],[ALL8]])*Tabella15[[#This Row],[PUNTO]]</f>
        <v>1.32</v>
      </c>
      <c r="AN57" s="6" t="s">
        <v>102</v>
      </c>
      <c r="AO57" s="1">
        <v>4</v>
      </c>
      <c r="AP57" s="1" t="s">
        <v>75</v>
      </c>
      <c r="AQ57" s="1" t="s">
        <v>75</v>
      </c>
      <c r="AR57" s="1" t="s">
        <v>75</v>
      </c>
      <c r="AS57" s="1" t="s">
        <v>75</v>
      </c>
      <c r="AT57" s="1" t="s">
        <v>77</v>
      </c>
      <c r="AU57" s="1" t="s">
        <v>77</v>
      </c>
      <c r="AV57" t="s">
        <v>580</v>
      </c>
      <c r="AW57">
        <v>2024</v>
      </c>
      <c r="AX57" t="s">
        <v>581</v>
      </c>
      <c r="AY57" s="2" t="s">
        <v>582</v>
      </c>
      <c r="AZ57" t="s">
        <v>583</v>
      </c>
      <c r="BA57" t="s">
        <v>584</v>
      </c>
      <c r="BC57" t="s">
        <v>585</v>
      </c>
      <c r="BD57" t="s">
        <v>60</v>
      </c>
      <c r="BE57" t="s">
        <v>100</v>
      </c>
      <c r="BF57" t="s">
        <v>587</v>
      </c>
      <c r="BG57" t="s">
        <v>588</v>
      </c>
      <c r="BH57" t="s">
        <v>589</v>
      </c>
      <c r="BI57" t="s">
        <v>586</v>
      </c>
      <c r="BJ57" s="1">
        <v>1</v>
      </c>
      <c r="BK57" s="1">
        <v>1</v>
      </c>
      <c r="BL57" s="1">
        <v>1</v>
      </c>
      <c r="BM57" s="1">
        <v>0</v>
      </c>
      <c r="BN57" s="1">
        <v>1</v>
      </c>
      <c r="BO57"/>
    </row>
    <row r="58" spans="2:67" x14ac:dyDescent="0.55000000000000004">
      <c r="B58" t="s">
        <v>68</v>
      </c>
      <c r="C58" t="s">
        <v>69</v>
      </c>
      <c r="D58" t="s">
        <v>89</v>
      </c>
      <c r="E58" t="s">
        <v>71</v>
      </c>
      <c r="F58" s="4">
        <v>83</v>
      </c>
      <c r="G58" t="s">
        <v>590</v>
      </c>
      <c r="H5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58" s="1">
        <f>(Tabella15[[#This Row],[ALL5]]+Tabella15[[#This Row],[ALL6]]+Tabella15[[#This Row],[ALL22]]+Tabella15[[#This Row],[ALL32]]+Tabella15[[#This Row],[ALL7]]+Tabella15[[#This Row],[ALL8]])</f>
        <v>1</v>
      </c>
      <c r="J58"/>
      <c r="M58" s="21">
        <f>Tabella15[[#This Row],[IOT SPECFIC]]+Tabella15[[#This Row],[MBSE]]+Tabella15[[#This Row],[NEW MODEL]]</f>
        <v>0</v>
      </c>
      <c r="N58" s="21">
        <f>IF(Tabella15[[#This Row],[ALL]]&gt;0,1,0)</f>
        <v>0</v>
      </c>
      <c r="O58" s="1"/>
      <c r="P58" s="21">
        <f>IF(Tabella15[[#This Row],[DEPLOYMENT]]&gt;0,1,0)</f>
        <v>0</v>
      </c>
      <c r="Q58"/>
      <c r="T58" s="21">
        <f>Tabella15[[#This Row],[issues]]+Tabella15[[#This Row],[High Level]]+Tabella15[[#This Row],[ORCHESTRATION]]</f>
        <v>0</v>
      </c>
      <c r="U58" s="21">
        <f>IF(Tabella15[[#This Row],[ALL2]]&gt;0,1,0)</f>
        <v>0</v>
      </c>
      <c r="V58"/>
      <c r="W58">
        <v>1</v>
      </c>
      <c r="Y58" s="21">
        <f>Tabella15[[#This Row],[Logginh]]+Tabella15[[#This Row],[Monitoring]]+Tabella15[[#This Row],[Performance]]</f>
        <v>1</v>
      </c>
      <c r="Z58" s="21">
        <f>IF(Tabella15[[#This Row],[ALL3]]&gt;0,1,0)</f>
        <v>1</v>
      </c>
      <c r="AA58" s="1"/>
      <c r="AB58" s="21">
        <f>IF(Tabella15[[#This Row],[TESTING]]&gt;0,1,0)</f>
        <v>0</v>
      </c>
      <c r="AC58"/>
      <c r="AH58" s="21">
        <f>Tabella15[[#This Row],[PRIVACY]]+Tabella15[[#This Row],[MATURITY MODEL]]+Tabella15[[#This Row],[ADDITIONAL]]+Tabella15[[#This Row],[DEVSECOPS]]+Tabella15[[#This Row],[SECURITY]]</f>
        <v>0</v>
      </c>
      <c r="AI58" s="21">
        <f>IF(Tabella15[[#This Row],[ALL4]]&gt;0,1,0)</f>
        <v>0</v>
      </c>
      <c r="AJ58" s="1"/>
      <c r="AK58" s="1">
        <v>12</v>
      </c>
      <c r="AL58" s="1">
        <f>(Tabella15[[#This Row],[ALL5]]+Tabella15[[#This Row],[ALL6]]+Tabella15[[#This Row],[ALL22]]+Tabella15[[#This Row],[ALL32]]+Tabella15[[#This Row],[ALL7]]+Tabella15[[#This Row],[ALL8]])*Tabella15[[#This Row],[Citazioni distinte]]</f>
        <v>12</v>
      </c>
      <c r="AM58" s="1">
        <f>(Tabella15[[#This Row],[ALL5]]+Tabella15[[#This Row],[ALL6]]+Tabella15[[#This Row],[ALL22]]+Tabella15[[#This Row],[ALL32]]+Tabella15[[#This Row],[ALL7]]+Tabella15[[#This Row],[ALL8]])*Tabella15[[#This Row],[PUNTO]]</f>
        <v>1.32</v>
      </c>
      <c r="AN58" s="6" t="s">
        <v>102</v>
      </c>
      <c r="AO58" s="1">
        <v>5</v>
      </c>
      <c r="AP58" s="1" t="s">
        <v>75</v>
      </c>
      <c r="AQ58" s="1" t="s">
        <v>75</v>
      </c>
      <c r="AR58" s="1" t="s">
        <v>75</v>
      </c>
      <c r="AS58" s="1" t="s">
        <v>75</v>
      </c>
      <c r="AT58" s="1" t="s">
        <v>76</v>
      </c>
      <c r="AU58" s="1" t="s">
        <v>77</v>
      </c>
      <c r="AV58" t="s">
        <v>591</v>
      </c>
      <c r="AW58">
        <v>2017</v>
      </c>
      <c r="AX58" t="s">
        <v>592</v>
      </c>
      <c r="AY58" s="2" t="s">
        <v>593</v>
      </c>
      <c r="AZ58" t="s">
        <v>594</v>
      </c>
      <c r="BA58" t="s">
        <v>595</v>
      </c>
      <c r="BC58" t="s">
        <v>596</v>
      </c>
      <c r="BD58" t="s">
        <v>60</v>
      </c>
      <c r="BE58" t="s">
        <v>213</v>
      </c>
      <c r="BF58" t="s">
        <v>598</v>
      </c>
      <c r="BG58" t="s">
        <v>599</v>
      </c>
      <c r="BH58" t="s">
        <v>187</v>
      </c>
      <c r="BI58" t="s">
        <v>597</v>
      </c>
      <c r="BJ58" s="1">
        <v>9</v>
      </c>
      <c r="BK58" s="1">
        <v>8</v>
      </c>
      <c r="BL58" s="1">
        <v>8</v>
      </c>
      <c r="BM58" s="1">
        <v>0</v>
      </c>
      <c r="BN58" s="1">
        <v>12</v>
      </c>
      <c r="BO58"/>
    </row>
    <row r="59" spans="2:67" x14ac:dyDescent="0.55000000000000004">
      <c r="B59" t="s">
        <v>68</v>
      </c>
      <c r="C59" t="s">
        <v>69</v>
      </c>
      <c r="D59" t="s">
        <v>196</v>
      </c>
      <c r="E59" t="s">
        <v>71</v>
      </c>
      <c r="F59" s="4">
        <v>85</v>
      </c>
      <c r="G59" t="s">
        <v>600</v>
      </c>
      <c r="H5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59" s="1">
        <f>(Tabella15[[#This Row],[ALL5]]+Tabella15[[#This Row],[ALL6]]+Tabella15[[#This Row],[ALL22]]+Tabella15[[#This Row],[ALL32]]+Tabella15[[#This Row],[ALL7]]+Tabella15[[#This Row],[ALL8]])</f>
        <v>2</v>
      </c>
      <c r="J59"/>
      <c r="M59" s="21">
        <f>Tabella15[[#This Row],[IOT SPECFIC]]+Tabella15[[#This Row],[MBSE]]+Tabella15[[#This Row],[NEW MODEL]]</f>
        <v>0</v>
      </c>
      <c r="N59" s="21">
        <f>IF(Tabella15[[#This Row],[ALL]]&gt;0,1,0)</f>
        <v>0</v>
      </c>
      <c r="O59" s="1">
        <v>2</v>
      </c>
      <c r="P59" s="21">
        <f>IF(Tabella15[[#This Row],[DEPLOYMENT]]&gt;0,1,0)</f>
        <v>1</v>
      </c>
      <c r="Q59"/>
      <c r="T59" s="21">
        <f>Tabella15[[#This Row],[issues]]+Tabella15[[#This Row],[High Level]]+Tabella15[[#This Row],[ORCHESTRATION]]</f>
        <v>0</v>
      </c>
      <c r="U59" s="21">
        <f>IF(Tabella15[[#This Row],[ALL2]]&gt;0,1,0)</f>
        <v>0</v>
      </c>
      <c r="V59"/>
      <c r="W59">
        <v>2</v>
      </c>
      <c r="Y59" s="21">
        <f>Tabella15[[#This Row],[Logginh]]+Tabella15[[#This Row],[Monitoring]]+Tabella15[[#This Row],[Performance]]</f>
        <v>2</v>
      </c>
      <c r="Z59" s="21">
        <f>IF(Tabella15[[#This Row],[ALL3]]&gt;0,1,0)</f>
        <v>1</v>
      </c>
      <c r="AA59" s="1"/>
      <c r="AB59" s="21">
        <f>IF(Tabella15[[#This Row],[TESTING]]&gt;0,1,0)</f>
        <v>0</v>
      </c>
      <c r="AC59"/>
      <c r="AH59" s="21">
        <f>Tabella15[[#This Row],[PRIVACY]]+Tabella15[[#This Row],[MATURITY MODEL]]+Tabella15[[#This Row],[ADDITIONAL]]+Tabella15[[#This Row],[DEVSECOPS]]+Tabella15[[#This Row],[SECURITY]]</f>
        <v>0</v>
      </c>
      <c r="AI59" s="21">
        <f>IF(Tabella15[[#This Row],[ALL4]]&gt;0,1,0)</f>
        <v>0</v>
      </c>
      <c r="AJ59" s="1">
        <v>-1</v>
      </c>
      <c r="AK59" s="1">
        <v>8</v>
      </c>
      <c r="AL59" s="1">
        <f>(Tabella15[[#This Row],[ALL5]]+Tabella15[[#This Row],[ALL6]]+Tabella15[[#This Row],[ALL22]]+Tabella15[[#This Row],[ALL32]]+Tabella15[[#This Row],[ALL7]]+Tabella15[[#This Row],[ALL8]])*Tabella15[[#This Row],[Citazioni distinte]]</f>
        <v>16</v>
      </c>
      <c r="AM59" s="1">
        <f>(Tabella15[[#This Row],[ALL5]]+Tabella15[[#This Row],[ALL6]]+Tabella15[[#This Row],[ALL22]]+Tabella15[[#This Row],[ALL32]]+Tabella15[[#This Row],[ALL7]]+Tabella15[[#This Row],[ALL8]])*Tabella15[[#This Row],[PUNTO]]</f>
        <v>2.64</v>
      </c>
      <c r="AN59" s="6" t="s">
        <v>71</v>
      </c>
      <c r="AO59" s="1">
        <v>4</v>
      </c>
      <c r="AP59" s="1" t="s">
        <v>75</v>
      </c>
      <c r="AQ59" s="1" t="s">
        <v>75</v>
      </c>
      <c r="AR59" s="1" t="s">
        <v>75</v>
      </c>
      <c r="AS59" s="1" t="s">
        <v>75</v>
      </c>
      <c r="AT59" s="1" t="s">
        <v>76</v>
      </c>
      <c r="AU59" s="1" t="s">
        <v>77</v>
      </c>
      <c r="AV59" t="s">
        <v>601</v>
      </c>
      <c r="AW59">
        <v>2015</v>
      </c>
      <c r="AX59" t="s">
        <v>602</v>
      </c>
      <c r="AY59" s="2" t="s">
        <v>603</v>
      </c>
      <c r="AZ59" t="s">
        <v>604</v>
      </c>
      <c r="BE59" t="s">
        <v>202</v>
      </c>
      <c r="BF59" t="s">
        <v>606</v>
      </c>
      <c r="BG59" t="s">
        <v>607</v>
      </c>
      <c r="BH59" t="s">
        <v>88</v>
      </c>
      <c r="BI59" t="s">
        <v>605</v>
      </c>
      <c r="BJ59" s="1">
        <v>7</v>
      </c>
      <c r="BK59" s="1">
        <v>5</v>
      </c>
      <c r="BL59" s="1">
        <v>5</v>
      </c>
      <c r="BM59" s="1">
        <v>0</v>
      </c>
      <c r="BN59" s="1">
        <v>8</v>
      </c>
      <c r="BO59"/>
    </row>
    <row r="60" spans="2:67" x14ac:dyDescent="0.55000000000000004">
      <c r="B60" t="s">
        <v>68</v>
      </c>
      <c r="C60" t="s">
        <v>69</v>
      </c>
      <c r="D60" t="s">
        <v>70</v>
      </c>
      <c r="E60" t="s">
        <v>73</v>
      </c>
      <c r="F60" s="4">
        <v>86</v>
      </c>
      <c r="G60" t="s">
        <v>608</v>
      </c>
      <c r="H6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60" s="1">
        <f>(Tabella15[[#This Row],[ALL5]]+Tabella15[[#This Row],[ALL6]]+Tabella15[[#This Row],[ALL22]]+Tabella15[[#This Row],[ALL32]]+Tabella15[[#This Row],[ALL7]]+Tabella15[[#This Row],[ALL8]])</f>
        <v>1</v>
      </c>
      <c r="J60"/>
      <c r="M60" s="21">
        <f>Tabella15[[#This Row],[IOT SPECFIC]]+Tabella15[[#This Row],[MBSE]]+Tabella15[[#This Row],[NEW MODEL]]</f>
        <v>0</v>
      </c>
      <c r="N60" s="21">
        <f>IF(Tabella15[[#This Row],[ALL]]&gt;0,1,0)</f>
        <v>0</v>
      </c>
      <c r="O60" s="1"/>
      <c r="P60" s="21">
        <f>IF(Tabella15[[#This Row],[DEPLOYMENT]]&gt;0,1,0)</f>
        <v>0</v>
      </c>
      <c r="Q60"/>
      <c r="T60" s="21">
        <f>Tabella15[[#This Row],[issues]]+Tabella15[[#This Row],[High Level]]+Tabella15[[#This Row],[ORCHESTRATION]]</f>
        <v>0</v>
      </c>
      <c r="U60" s="21">
        <f>IF(Tabella15[[#This Row],[ALL2]]&gt;0,1,0)</f>
        <v>0</v>
      </c>
      <c r="V60"/>
      <c r="Y60" s="21">
        <f>Tabella15[[#This Row],[Logginh]]+Tabella15[[#This Row],[Monitoring]]+Tabella15[[#This Row],[Performance]]</f>
        <v>0</v>
      </c>
      <c r="Z60" s="21">
        <f>IF(Tabella15[[#This Row],[ALL3]]&gt;0,1,0)</f>
        <v>0</v>
      </c>
      <c r="AA60" s="1"/>
      <c r="AB60" s="21">
        <f>IF(Tabella15[[#This Row],[TESTING]]&gt;0,1,0)</f>
        <v>0</v>
      </c>
      <c r="AC60"/>
      <c r="AG60">
        <v>1</v>
      </c>
      <c r="AH60" s="21">
        <f>Tabella15[[#This Row],[PRIVACY]]+Tabella15[[#This Row],[MATURITY MODEL]]+Tabella15[[#This Row],[ADDITIONAL]]+Tabella15[[#This Row],[DEVSECOPS]]+Tabella15[[#This Row],[SECURITY]]</f>
        <v>1</v>
      </c>
      <c r="AI60" s="21">
        <f>IF(Tabella15[[#This Row],[ALL4]]&gt;0,1,0)</f>
        <v>1</v>
      </c>
      <c r="AJ60" s="1"/>
      <c r="AK60" s="1">
        <v>15</v>
      </c>
      <c r="AL60" s="1">
        <f>(Tabella15[[#This Row],[ALL5]]+Tabella15[[#This Row],[ALL6]]+Tabella15[[#This Row],[ALL22]]+Tabella15[[#This Row],[ALL32]]+Tabella15[[#This Row],[ALL7]]+Tabella15[[#This Row],[ALL8]])*Tabella15[[#This Row],[Citazioni distinte]]</f>
        <v>15</v>
      </c>
      <c r="AM60" s="1">
        <f>(Tabella15[[#This Row],[ALL5]]+Tabella15[[#This Row],[ALL6]]+Tabella15[[#This Row],[ALL22]]+Tabella15[[#This Row],[ALL32]]+Tabella15[[#This Row],[ALL7]]+Tabella15[[#This Row],[ALL8]])*Tabella15[[#This Row],[PUNTO]]</f>
        <v>1.32</v>
      </c>
      <c r="AN60" s="6" t="s">
        <v>71</v>
      </c>
      <c r="AO60" s="1">
        <v>7</v>
      </c>
      <c r="AP60" s="1" t="s">
        <v>74</v>
      </c>
      <c r="AQ60" s="1" t="s">
        <v>75</v>
      </c>
      <c r="AR60" s="1" t="s">
        <v>75</v>
      </c>
      <c r="AS60" s="1" t="s">
        <v>327</v>
      </c>
      <c r="AT60" s="1" t="s">
        <v>76</v>
      </c>
      <c r="AU60" s="1" t="s">
        <v>77</v>
      </c>
      <c r="AV60" t="s">
        <v>609</v>
      </c>
      <c r="AW60">
        <v>2024</v>
      </c>
      <c r="AX60" t="s">
        <v>610</v>
      </c>
      <c r="AY60" s="2" t="s">
        <v>611</v>
      </c>
      <c r="AZ60" t="s">
        <v>612</v>
      </c>
      <c r="BB60" t="s">
        <v>206</v>
      </c>
      <c r="BC60">
        <v>2024</v>
      </c>
      <c r="BE60" t="s">
        <v>256</v>
      </c>
      <c r="BF60" t="s">
        <v>614</v>
      </c>
      <c r="BG60" t="s">
        <v>615</v>
      </c>
      <c r="BH60" t="s">
        <v>88</v>
      </c>
      <c r="BI60" t="s">
        <v>613</v>
      </c>
      <c r="BJ60" s="1">
        <v>15</v>
      </c>
      <c r="BK60" s="1">
        <v>14</v>
      </c>
      <c r="BL60" s="1">
        <v>10</v>
      </c>
      <c r="BM60" s="1">
        <v>0</v>
      </c>
      <c r="BN60" s="1">
        <v>15</v>
      </c>
      <c r="BO60"/>
    </row>
    <row r="61" spans="2:67" x14ac:dyDescent="0.55000000000000004">
      <c r="B61" t="s">
        <v>68</v>
      </c>
      <c r="C61" t="s">
        <v>69</v>
      </c>
      <c r="D61" t="s">
        <v>85</v>
      </c>
      <c r="E61" t="s">
        <v>73</v>
      </c>
      <c r="F61" s="4">
        <v>87</v>
      </c>
      <c r="G61" t="s">
        <v>616</v>
      </c>
      <c r="H6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61" s="1">
        <f>(Tabella15[[#This Row],[ALL5]]+Tabella15[[#This Row],[ALL6]]+Tabella15[[#This Row],[ALL22]]+Tabella15[[#This Row],[ALL32]]+Tabella15[[#This Row],[ALL7]]+Tabella15[[#This Row],[ALL8]])</f>
        <v>1</v>
      </c>
      <c r="J61"/>
      <c r="M61" s="21">
        <f>Tabella15[[#This Row],[IOT SPECFIC]]+Tabella15[[#This Row],[MBSE]]+Tabella15[[#This Row],[NEW MODEL]]</f>
        <v>0</v>
      </c>
      <c r="N61" s="21">
        <f>IF(Tabella15[[#This Row],[ALL]]&gt;0,1,0)</f>
        <v>0</v>
      </c>
      <c r="O61" s="1">
        <v>2</v>
      </c>
      <c r="P61" s="21">
        <f>IF(Tabella15[[#This Row],[DEPLOYMENT]]&gt;0,1,0)</f>
        <v>1</v>
      </c>
      <c r="Q61"/>
      <c r="T61" s="21">
        <f>Tabella15[[#This Row],[issues]]+Tabella15[[#This Row],[High Level]]+Tabella15[[#This Row],[ORCHESTRATION]]</f>
        <v>0</v>
      </c>
      <c r="U61" s="21">
        <f>IF(Tabella15[[#This Row],[ALL2]]&gt;0,1,0)</f>
        <v>0</v>
      </c>
      <c r="V61"/>
      <c r="Y61" s="21">
        <f>Tabella15[[#This Row],[Logginh]]+Tabella15[[#This Row],[Monitoring]]+Tabella15[[#This Row],[Performance]]</f>
        <v>0</v>
      </c>
      <c r="Z61" s="21">
        <f>IF(Tabella15[[#This Row],[ALL3]]&gt;0,1,0)</f>
        <v>0</v>
      </c>
      <c r="AA61" s="1"/>
      <c r="AB61" s="21">
        <f>IF(Tabella15[[#This Row],[TESTING]]&gt;0,1,0)</f>
        <v>0</v>
      </c>
      <c r="AC61"/>
      <c r="AH61" s="21">
        <f>Tabella15[[#This Row],[PRIVACY]]+Tabella15[[#This Row],[MATURITY MODEL]]+Tabella15[[#This Row],[ADDITIONAL]]+Tabella15[[#This Row],[DEVSECOPS]]+Tabella15[[#This Row],[SECURITY]]</f>
        <v>0</v>
      </c>
      <c r="AI61" s="21">
        <f>IF(Tabella15[[#This Row],[ALL4]]&gt;0,1,0)</f>
        <v>0</v>
      </c>
      <c r="AJ61" s="1"/>
      <c r="AK61" s="1">
        <v>5</v>
      </c>
      <c r="AL61" s="1">
        <f>(Tabella15[[#This Row],[ALL5]]+Tabella15[[#This Row],[ALL6]]+Tabella15[[#This Row],[ALL22]]+Tabella15[[#This Row],[ALL32]]+Tabella15[[#This Row],[ALL7]]+Tabella15[[#This Row],[ALL8]])*Tabella15[[#This Row],[Citazioni distinte]]</f>
        <v>5</v>
      </c>
      <c r="AM61" s="1">
        <f>(Tabella15[[#This Row],[ALL5]]+Tabella15[[#This Row],[ALL6]]+Tabella15[[#This Row],[ALL22]]+Tabella15[[#This Row],[ALL32]]+Tabella15[[#This Row],[ALL7]]+Tabella15[[#This Row],[ALL8]])*Tabella15[[#This Row],[PUNTO]]</f>
        <v>1.32</v>
      </c>
      <c r="AN61" s="6" t="s">
        <v>102</v>
      </c>
      <c r="AO61" s="1">
        <v>7</v>
      </c>
      <c r="AP61" s="1" t="s">
        <v>74</v>
      </c>
      <c r="AQ61" s="1" t="s">
        <v>75</v>
      </c>
      <c r="AR61" s="1" t="s">
        <v>75</v>
      </c>
      <c r="AS61" s="1" t="s">
        <v>327</v>
      </c>
      <c r="AT61" s="1" t="s">
        <v>76</v>
      </c>
      <c r="AU61" s="1" t="s">
        <v>77</v>
      </c>
      <c r="AV61" t="s">
        <v>617</v>
      </c>
      <c r="AW61">
        <v>2023</v>
      </c>
      <c r="AX61" t="s">
        <v>618</v>
      </c>
      <c r="AY61" s="2" t="s">
        <v>619</v>
      </c>
      <c r="AZ61" t="s">
        <v>620</v>
      </c>
      <c r="BA61" t="s">
        <v>621</v>
      </c>
      <c r="BC61" t="s">
        <v>622</v>
      </c>
      <c r="BD61" t="s">
        <v>60</v>
      </c>
      <c r="BE61" t="s">
        <v>85</v>
      </c>
      <c r="BF61" t="s">
        <v>624</v>
      </c>
      <c r="BG61" t="s">
        <v>625</v>
      </c>
      <c r="BH61" t="s">
        <v>626</v>
      </c>
      <c r="BI61" t="s">
        <v>623</v>
      </c>
      <c r="BJ61" s="1">
        <v>5</v>
      </c>
      <c r="BK61" s="1">
        <v>4</v>
      </c>
      <c r="BL61" s="1">
        <v>0</v>
      </c>
      <c r="BM61" s="1">
        <v>0</v>
      </c>
      <c r="BN61" s="1">
        <v>5</v>
      </c>
      <c r="BO61"/>
    </row>
    <row r="62" spans="2:67" x14ac:dyDescent="0.55000000000000004">
      <c r="B62" t="s">
        <v>68</v>
      </c>
      <c r="C62" t="s">
        <v>69</v>
      </c>
      <c r="D62" t="s">
        <v>89</v>
      </c>
      <c r="E62" t="s">
        <v>102</v>
      </c>
      <c r="F62" s="4">
        <v>88</v>
      </c>
      <c r="G62" t="s">
        <v>627</v>
      </c>
      <c r="H6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62" s="1">
        <f>(Tabella15[[#This Row],[ALL5]]+Tabella15[[#This Row],[ALL6]]+Tabella15[[#This Row],[ALL22]]+Tabella15[[#This Row],[ALL32]]+Tabella15[[#This Row],[ALL7]]+Tabella15[[#This Row],[ALL8]])</f>
        <v>1</v>
      </c>
      <c r="J62"/>
      <c r="M62" s="21">
        <f>Tabella15[[#This Row],[IOT SPECFIC]]+Tabella15[[#This Row],[MBSE]]+Tabella15[[#This Row],[NEW MODEL]]</f>
        <v>0</v>
      </c>
      <c r="N62" s="21">
        <f>IF(Tabella15[[#This Row],[ALL]]&gt;0,1,0)</f>
        <v>0</v>
      </c>
      <c r="O62" s="1">
        <v>3</v>
      </c>
      <c r="P62" s="21">
        <f>IF(Tabella15[[#This Row],[DEPLOYMENT]]&gt;0,1,0)</f>
        <v>1</v>
      </c>
      <c r="Q62" s="1"/>
      <c r="R62" s="1"/>
      <c r="S62" s="1"/>
      <c r="T62" s="21">
        <f>Tabella15[[#This Row],[issues]]+Tabella15[[#This Row],[High Level]]+Tabella15[[#This Row],[ORCHESTRATION]]</f>
        <v>0</v>
      </c>
      <c r="U62" s="21">
        <f>IF(Tabella15[[#This Row],[ALL2]]&gt;0,1,0)</f>
        <v>0</v>
      </c>
      <c r="V62" s="1"/>
      <c r="W62" s="1"/>
      <c r="X62" s="1"/>
      <c r="Y62" s="21">
        <f>Tabella15[[#This Row],[Logginh]]+Tabella15[[#This Row],[Monitoring]]+Tabella15[[#This Row],[Performance]]</f>
        <v>0</v>
      </c>
      <c r="Z62" s="21">
        <f>IF(Tabella15[[#This Row],[ALL3]]&gt;0,1,0)</f>
        <v>0</v>
      </c>
      <c r="AA62" s="1"/>
      <c r="AB62" s="21">
        <f>IF(Tabella15[[#This Row],[TESTING]]&gt;0,1,0)</f>
        <v>0</v>
      </c>
      <c r="AC62" s="1"/>
      <c r="AD62" s="1"/>
      <c r="AE62" s="1"/>
      <c r="AF62" s="1"/>
      <c r="AG62" s="1"/>
      <c r="AH62" s="21">
        <f>Tabella15[[#This Row],[PRIVACY]]+Tabella15[[#This Row],[MATURITY MODEL]]+Tabella15[[#This Row],[ADDITIONAL]]+Tabella15[[#This Row],[DEVSECOPS]]+Tabella15[[#This Row],[SECURITY]]</f>
        <v>0</v>
      </c>
      <c r="AI62" s="21">
        <f>IF(Tabella15[[#This Row],[ALL4]]&gt;0,1,0)</f>
        <v>0</v>
      </c>
      <c r="AJ62" s="1">
        <v>-1</v>
      </c>
      <c r="AK62" s="1">
        <v>4</v>
      </c>
      <c r="AL62" s="1">
        <f>(Tabella15[[#This Row],[ALL5]]+Tabella15[[#This Row],[ALL6]]+Tabella15[[#This Row],[ALL22]]+Tabella15[[#This Row],[ALL32]]+Tabella15[[#This Row],[ALL7]]+Tabella15[[#This Row],[ALL8]])*Tabella15[[#This Row],[Citazioni distinte]]</f>
        <v>4</v>
      </c>
      <c r="AM62" s="1">
        <f>(Tabella15[[#This Row],[ALL5]]+Tabella15[[#This Row],[ALL6]]+Tabella15[[#This Row],[ALL22]]+Tabella15[[#This Row],[ALL32]]+Tabella15[[#This Row],[ALL7]]+Tabella15[[#This Row],[ALL8]])*Tabella15[[#This Row],[PUNTO]]</f>
        <v>3.33</v>
      </c>
      <c r="AN62" s="6" t="s">
        <v>73</v>
      </c>
      <c r="AO62" s="1">
        <v>9</v>
      </c>
      <c r="AP62" s="1" t="s">
        <v>102</v>
      </c>
      <c r="AQ62" s="1" t="s">
        <v>102</v>
      </c>
      <c r="AR62" s="1" t="s">
        <v>102</v>
      </c>
      <c r="AS62" s="1" t="s">
        <v>75</v>
      </c>
      <c r="AT62" s="1" t="s">
        <v>77</v>
      </c>
      <c r="AU62" s="1" t="s">
        <v>77</v>
      </c>
      <c r="AV62" t="s">
        <v>628</v>
      </c>
      <c r="AW62">
        <v>2024</v>
      </c>
      <c r="AX62" t="s">
        <v>629</v>
      </c>
      <c r="AY62" s="2" t="s">
        <v>630</v>
      </c>
      <c r="AZ62" t="s">
        <v>631</v>
      </c>
      <c r="BA62" t="s">
        <v>632</v>
      </c>
      <c r="BC62" t="s">
        <v>633</v>
      </c>
      <c r="BD62" t="s">
        <v>60</v>
      </c>
      <c r="BE62" t="s">
        <v>213</v>
      </c>
      <c r="BF62" t="s">
        <v>635</v>
      </c>
      <c r="BG62" t="s">
        <v>636</v>
      </c>
      <c r="BH62" t="s">
        <v>637</v>
      </c>
      <c r="BI62" t="s">
        <v>634</v>
      </c>
      <c r="BJ62" s="1">
        <v>4</v>
      </c>
      <c r="BK62" s="1">
        <v>4</v>
      </c>
      <c r="BL62" s="1">
        <v>0</v>
      </c>
      <c r="BM62" s="1">
        <v>0</v>
      </c>
      <c r="BN62" s="1">
        <v>4</v>
      </c>
      <c r="BO62"/>
    </row>
    <row r="63" spans="2:67" x14ac:dyDescent="0.55000000000000004">
      <c r="B63" t="s">
        <v>122</v>
      </c>
      <c r="C63" t="s">
        <v>123</v>
      </c>
      <c r="D63" t="s">
        <v>89</v>
      </c>
      <c r="E63" t="s">
        <v>102</v>
      </c>
      <c r="F63" s="4">
        <v>89</v>
      </c>
      <c r="G63" t="s">
        <v>638</v>
      </c>
      <c r="H6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63" s="1">
        <f>(Tabella15[[#This Row],[ALL5]]+Tabella15[[#This Row],[ALL6]]+Tabella15[[#This Row],[ALL22]]+Tabella15[[#This Row],[ALL32]]+Tabella15[[#This Row],[ALL7]]+Tabella15[[#This Row],[ALL8]])</f>
        <v>2</v>
      </c>
      <c r="J63"/>
      <c r="M63" s="21">
        <f>Tabella15[[#This Row],[IOT SPECFIC]]+Tabella15[[#This Row],[MBSE]]+Tabella15[[#This Row],[NEW MODEL]]</f>
        <v>0</v>
      </c>
      <c r="N63" s="21">
        <f>IF(Tabella15[[#This Row],[ALL]]&gt;0,1,0)</f>
        <v>0</v>
      </c>
      <c r="O63" s="1"/>
      <c r="P63" s="21">
        <f>IF(Tabella15[[#This Row],[DEPLOYMENT]]&gt;0,1,0)</f>
        <v>0</v>
      </c>
      <c r="Q63"/>
      <c r="T63" s="21">
        <f>Tabella15[[#This Row],[issues]]+Tabella15[[#This Row],[High Level]]+Tabella15[[#This Row],[ORCHESTRATION]]</f>
        <v>0</v>
      </c>
      <c r="U63" s="21">
        <f>IF(Tabella15[[#This Row],[ALL2]]&gt;0,1,0)</f>
        <v>0</v>
      </c>
      <c r="V63"/>
      <c r="X63">
        <v>1</v>
      </c>
      <c r="Y63" s="21">
        <f>Tabella15[[#This Row],[Logginh]]+Tabella15[[#This Row],[Monitoring]]+Tabella15[[#This Row],[Performance]]</f>
        <v>1</v>
      </c>
      <c r="Z63" s="21">
        <f>IF(Tabella15[[#This Row],[ALL3]]&gt;0,1,0)</f>
        <v>1</v>
      </c>
      <c r="AA63" s="1"/>
      <c r="AB63" s="21">
        <f>IF(Tabella15[[#This Row],[TESTING]]&gt;0,1,0)</f>
        <v>0</v>
      </c>
      <c r="AC63"/>
      <c r="AD63">
        <v>1</v>
      </c>
      <c r="AH63" s="21">
        <f>Tabella15[[#This Row],[PRIVACY]]+Tabella15[[#This Row],[MATURITY MODEL]]+Tabella15[[#This Row],[ADDITIONAL]]+Tabella15[[#This Row],[DEVSECOPS]]+Tabella15[[#This Row],[SECURITY]]</f>
        <v>1</v>
      </c>
      <c r="AI63" s="21">
        <f>IF(Tabella15[[#This Row],[ALL4]]&gt;0,1,0)</f>
        <v>1</v>
      </c>
      <c r="AJ63" s="1"/>
      <c r="AK63" s="1">
        <v>58</v>
      </c>
      <c r="AL63" s="1">
        <f>(Tabella15[[#This Row],[ALL5]]+Tabella15[[#This Row],[ALL6]]+Tabella15[[#This Row],[ALL22]]+Tabella15[[#This Row],[ALL32]]+Tabella15[[#This Row],[ALL7]]+Tabella15[[#This Row],[ALL8]])*Tabella15[[#This Row],[Citazioni distinte]]</f>
        <v>116</v>
      </c>
      <c r="AM63" s="1">
        <f>(Tabella15[[#This Row],[ALL5]]+Tabella15[[#This Row],[ALL6]]+Tabella15[[#This Row],[ALL22]]+Tabella15[[#This Row],[ALL32]]+Tabella15[[#This Row],[ALL7]]+Tabella15[[#This Row],[ALL8]])*Tabella15[[#This Row],[PUNTO]]</f>
        <v>5.98</v>
      </c>
      <c r="AN63" s="6" t="s">
        <v>102</v>
      </c>
      <c r="AO63" s="1">
        <v>13</v>
      </c>
      <c r="AP63" s="1" t="s">
        <v>102</v>
      </c>
      <c r="AQ63" s="1" t="s">
        <v>74</v>
      </c>
      <c r="AR63" s="1" t="s">
        <v>102</v>
      </c>
      <c r="AS63" s="1" t="s">
        <v>75</v>
      </c>
      <c r="AT63" s="1" t="s">
        <v>77</v>
      </c>
      <c r="AU63" s="1" t="s">
        <v>77</v>
      </c>
      <c r="AV63" t="s">
        <v>639</v>
      </c>
      <c r="AW63">
        <v>2019</v>
      </c>
      <c r="AX63" t="s">
        <v>640</v>
      </c>
      <c r="AY63" s="2" t="s">
        <v>641</v>
      </c>
      <c r="AZ63" t="s">
        <v>642</v>
      </c>
      <c r="BA63" t="s">
        <v>643</v>
      </c>
      <c r="BC63" t="s">
        <v>644</v>
      </c>
      <c r="BD63" t="s">
        <v>60</v>
      </c>
      <c r="BE63" t="s">
        <v>213</v>
      </c>
      <c r="BF63" t="s">
        <v>646</v>
      </c>
      <c r="BG63" t="s">
        <v>647</v>
      </c>
      <c r="BH63" t="s">
        <v>648</v>
      </c>
      <c r="BI63" t="s">
        <v>645</v>
      </c>
      <c r="BJ63" s="1">
        <v>57</v>
      </c>
      <c r="BK63" s="1">
        <v>54</v>
      </c>
      <c r="BL63" s="1">
        <v>32</v>
      </c>
      <c r="BM63" s="1">
        <v>0</v>
      </c>
      <c r="BN63" s="1">
        <v>58</v>
      </c>
      <c r="BO63"/>
    </row>
    <row r="64" spans="2:67" x14ac:dyDescent="0.55000000000000004">
      <c r="B64" t="s">
        <v>122</v>
      </c>
      <c r="C64" t="s">
        <v>123</v>
      </c>
      <c r="D64" t="s">
        <v>232</v>
      </c>
      <c r="E64" t="s">
        <v>102</v>
      </c>
      <c r="F64" s="4">
        <v>91</v>
      </c>
      <c r="G64" t="s">
        <v>649</v>
      </c>
      <c r="H6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64" s="1">
        <f>(Tabella15[[#This Row],[ALL5]]+Tabella15[[#This Row],[ALL6]]+Tabella15[[#This Row],[ALL22]]+Tabella15[[#This Row],[ALL32]]+Tabella15[[#This Row],[ALL7]]+Tabella15[[#This Row],[ALL8]])</f>
        <v>3</v>
      </c>
      <c r="J64">
        <v>3</v>
      </c>
      <c r="M64" s="21">
        <f>Tabella15[[#This Row],[IOT SPECFIC]]+Tabella15[[#This Row],[MBSE]]+Tabella15[[#This Row],[NEW MODEL]]</f>
        <v>3</v>
      </c>
      <c r="N64" s="21">
        <f>IF(Tabella15[[#This Row],[ALL]]&gt;0,1,0)</f>
        <v>1</v>
      </c>
      <c r="O64" s="1"/>
      <c r="P64" s="21">
        <f>IF(Tabella15[[#This Row],[DEPLOYMENT]]&gt;0,1,0)</f>
        <v>0</v>
      </c>
      <c r="Q64">
        <v>1</v>
      </c>
      <c r="T64" s="21">
        <f>Tabella15[[#This Row],[issues]]+Tabella15[[#This Row],[High Level]]+Tabella15[[#This Row],[ORCHESTRATION]]</f>
        <v>1</v>
      </c>
      <c r="U64" s="21">
        <f>IF(Tabella15[[#This Row],[ALL2]]&gt;0,1,0)</f>
        <v>1</v>
      </c>
      <c r="V64"/>
      <c r="W64">
        <v>1</v>
      </c>
      <c r="Y64" s="21">
        <f>Tabella15[[#This Row],[Logginh]]+Tabella15[[#This Row],[Monitoring]]+Tabella15[[#This Row],[Performance]]</f>
        <v>1</v>
      </c>
      <c r="Z64" s="21">
        <f>IF(Tabella15[[#This Row],[ALL3]]&gt;0,1,0)</f>
        <v>1</v>
      </c>
      <c r="AA64" s="1"/>
      <c r="AB64" s="21">
        <f>IF(Tabella15[[#This Row],[TESTING]]&gt;0,1,0)</f>
        <v>0</v>
      </c>
      <c r="AC64"/>
      <c r="AH64" s="21">
        <f>Tabella15[[#This Row],[PRIVACY]]+Tabella15[[#This Row],[MATURITY MODEL]]+Tabella15[[#This Row],[ADDITIONAL]]+Tabella15[[#This Row],[DEVSECOPS]]+Tabella15[[#This Row],[SECURITY]]</f>
        <v>0</v>
      </c>
      <c r="AI64" s="21">
        <f>IF(Tabella15[[#This Row],[ALL4]]&gt;0,1,0)</f>
        <v>0</v>
      </c>
      <c r="AJ64" s="1">
        <v>-1</v>
      </c>
      <c r="AK64" s="1">
        <v>26</v>
      </c>
      <c r="AL64" s="1">
        <f>(Tabella15[[#This Row],[ALL5]]+Tabella15[[#This Row],[ALL6]]+Tabella15[[#This Row],[ALL22]]+Tabella15[[#This Row],[ALL32]]+Tabella15[[#This Row],[ALL7]]+Tabella15[[#This Row],[ALL8]])*Tabella15[[#This Row],[Citazioni distinte]]</f>
        <v>78</v>
      </c>
      <c r="AM64" s="1">
        <f>(Tabella15[[#This Row],[ALL5]]+Tabella15[[#This Row],[ALL6]]+Tabella15[[#This Row],[ALL22]]+Tabella15[[#This Row],[ALL32]]+Tabella15[[#This Row],[ALL7]]+Tabella15[[#This Row],[ALL8]])*Tabella15[[#This Row],[PUNTO]]</f>
        <v>10.98</v>
      </c>
      <c r="AN64" s="6" t="s">
        <v>102</v>
      </c>
      <c r="AO64" s="1">
        <v>23</v>
      </c>
      <c r="AP64" s="1" t="s">
        <v>102</v>
      </c>
      <c r="AQ64" s="1" t="s">
        <v>102</v>
      </c>
      <c r="AR64" s="1" t="s">
        <v>102</v>
      </c>
      <c r="AS64" s="1" t="s">
        <v>74</v>
      </c>
      <c r="AT64" s="1" t="s">
        <v>77</v>
      </c>
      <c r="AU64" s="1" t="s">
        <v>77</v>
      </c>
      <c r="AV64" t="s">
        <v>650</v>
      </c>
      <c r="AW64">
        <v>2021</v>
      </c>
      <c r="AX64" t="s">
        <v>651</v>
      </c>
      <c r="AZ64" t="s">
        <v>652</v>
      </c>
      <c r="BB64" t="s">
        <v>653</v>
      </c>
      <c r="BE64" t="s">
        <v>131</v>
      </c>
      <c r="BF64" t="s">
        <v>655</v>
      </c>
      <c r="BG64" t="s">
        <v>656</v>
      </c>
      <c r="BH64" t="s">
        <v>657</v>
      </c>
      <c r="BI64" t="s">
        <v>654</v>
      </c>
      <c r="BJ64" s="1">
        <v>26</v>
      </c>
      <c r="BK64" s="1">
        <v>0</v>
      </c>
      <c r="BL64" s="1">
        <v>19</v>
      </c>
      <c r="BM64" s="1">
        <v>0</v>
      </c>
      <c r="BN64" s="1">
        <v>26</v>
      </c>
      <c r="BO64"/>
    </row>
    <row r="65" spans="1:67" x14ac:dyDescent="0.55000000000000004">
      <c r="B65" t="s">
        <v>68</v>
      </c>
      <c r="C65" t="s">
        <v>69</v>
      </c>
      <c r="D65" t="s">
        <v>207</v>
      </c>
      <c r="E65" t="s">
        <v>71</v>
      </c>
      <c r="F65" s="4">
        <v>92</v>
      </c>
      <c r="G65" t="s">
        <v>658</v>
      </c>
      <c r="H6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65" s="1">
        <f>(Tabella15[[#This Row],[ALL5]]+Tabella15[[#This Row],[ALL6]]+Tabella15[[#This Row],[ALL22]]+Tabella15[[#This Row],[ALL32]]+Tabella15[[#This Row],[ALL7]]+Tabella15[[#This Row],[ALL8]])</f>
        <v>2</v>
      </c>
      <c r="J65"/>
      <c r="M65" s="21">
        <f>Tabella15[[#This Row],[IOT SPECFIC]]+Tabella15[[#This Row],[MBSE]]+Tabella15[[#This Row],[NEW MODEL]]</f>
        <v>0</v>
      </c>
      <c r="N65" s="21">
        <f>IF(Tabella15[[#This Row],[ALL]]&gt;0,1,0)</f>
        <v>0</v>
      </c>
      <c r="O65" s="1">
        <v>2</v>
      </c>
      <c r="P65" s="21">
        <f>IF(Tabella15[[#This Row],[DEPLOYMENT]]&gt;0,1,0)</f>
        <v>1</v>
      </c>
      <c r="Q65"/>
      <c r="T65" s="21">
        <f>Tabella15[[#This Row],[issues]]+Tabella15[[#This Row],[High Level]]+Tabella15[[#This Row],[ORCHESTRATION]]</f>
        <v>0</v>
      </c>
      <c r="U65" s="21">
        <f>IF(Tabella15[[#This Row],[ALL2]]&gt;0,1,0)</f>
        <v>0</v>
      </c>
      <c r="V65"/>
      <c r="W65">
        <v>2</v>
      </c>
      <c r="Y65" s="21">
        <f>Tabella15[[#This Row],[Logginh]]+Tabella15[[#This Row],[Monitoring]]+Tabella15[[#This Row],[Performance]]</f>
        <v>2</v>
      </c>
      <c r="Z65" s="21">
        <f>IF(Tabella15[[#This Row],[ALL3]]&gt;0,1,0)</f>
        <v>1</v>
      </c>
      <c r="AA65" s="1"/>
      <c r="AB65" s="21">
        <f>IF(Tabella15[[#This Row],[TESTING]]&gt;0,1,0)</f>
        <v>0</v>
      </c>
      <c r="AC65"/>
      <c r="AH65" s="21">
        <f>Tabella15[[#This Row],[PRIVACY]]+Tabella15[[#This Row],[MATURITY MODEL]]+Tabella15[[#This Row],[ADDITIONAL]]+Tabella15[[#This Row],[DEVSECOPS]]+Tabella15[[#This Row],[SECURITY]]</f>
        <v>0</v>
      </c>
      <c r="AI65" s="21">
        <f>IF(Tabella15[[#This Row],[ALL4]]&gt;0,1,0)</f>
        <v>0</v>
      </c>
      <c r="AJ65" s="1">
        <v>-1</v>
      </c>
      <c r="AK65" s="1">
        <v>1</v>
      </c>
      <c r="AL65" s="1">
        <f>(Tabella15[[#This Row],[ALL5]]+Tabella15[[#This Row],[ALL6]]+Tabella15[[#This Row],[ALL22]]+Tabella15[[#This Row],[ALL32]]+Tabella15[[#This Row],[ALL7]]+Tabella15[[#This Row],[ALL8]])*Tabella15[[#This Row],[Citazioni distinte]]</f>
        <v>2</v>
      </c>
      <c r="AM65" s="1">
        <f>(Tabella15[[#This Row],[ALL5]]+Tabella15[[#This Row],[ALL6]]+Tabella15[[#This Row],[ALL22]]+Tabella15[[#This Row],[ALL32]]+Tabella15[[#This Row],[ALL7]]+Tabella15[[#This Row],[ALL8]])*Tabella15[[#This Row],[PUNTO]]</f>
        <v>1.98</v>
      </c>
      <c r="AN65" s="6" t="s">
        <v>102</v>
      </c>
      <c r="AO65" s="1">
        <v>3</v>
      </c>
      <c r="AP65" s="1" t="s">
        <v>75</v>
      </c>
      <c r="AQ65" s="1" t="s">
        <v>75</v>
      </c>
      <c r="AR65" s="1" t="s">
        <v>75</v>
      </c>
      <c r="AS65" s="1" t="s">
        <v>327</v>
      </c>
      <c r="AT65" s="1" t="s">
        <v>76</v>
      </c>
      <c r="AU65" s="1" t="s">
        <v>77</v>
      </c>
      <c r="AV65" t="s">
        <v>659</v>
      </c>
      <c r="AW65">
        <v>2016</v>
      </c>
      <c r="AX65" t="s">
        <v>660</v>
      </c>
      <c r="AY65" s="2" t="s">
        <v>661</v>
      </c>
      <c r="AZ65" t="s">
        <v>662</v>
      </c>
      <c r="BA65" t="s">
        <v>663</v>
      </c>
      <c r="BC65" t="s">
        <v>83</v>
      </c>
      <c r="BD65" t="s">
        <v>60</v>
      </c>
      <c r="BE65" t="s">
        <v>85</v>
      </c>
      <c r="BF65" t="s">
        <v>665</v>
      </c>
      <c r="BG65" t="s">
        <v>666</v>
      </c>
      <c r="BH65" t="s">
        <v>667</v>
      </c>
      <c r="BI65" t="s">
        <v>664</v>
      </c>
      <c r="BJ65" s="1">
        <v>2</v>
      </c>
      <c r="BK65" s="1">
        <v>1</v>
      </c>
      <c r="BL65" s="1">
        <v>1</v>
      </c>
      <c r="BM65" s="1">
        <v>0</v>
      </c>
      <c r="BN65" s="1">
        <v>1</v>
      </c>
      <c r="BO65"/>
    </row>
    <row r="66" spans="1:67" x14ac:dyDescent="0.55000000000000004">
      <c r="B66" t="s">
        <v>68</v>
      </c>
      <c r="C66" t="s">
        <v>69</v>
      </c>
      <c r="D66" t="s">
        <v>70</v>
      </c>
      <c r="E66" t="s">
        <v>71</v>
      </c>
      <c r="F66" s="4">
        <v>93</v>
      </c>
      <c r="G66" t="s">
        <v>668</v>
      </c>
      <c r="H6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2.99</v>
      </c>
      <c r="I66" s="1">
        <f>(Tabella15[[#This Row],[ALL5]]+Tabella15[[#This Row],[ALL6]]+Tabella15[[#This Row],[ALL22]]+Tabella15[[#This Row],[ALL32]]+Tabella15[[#This Row],[ALL7]]+Tabella15[[#This Row],[ALL8]])</f>
        <v>1</v>
      </c>
      <c r="J66"/>
      <c r="M66" s="21">
        <f>Tabella15[[#This Row],[IOT SPECFIC]]+Tabella15[[#This Row],[MBSE]]+Tabella15[[#This Row],[NEW MODEL]]</f>
        <v>0</v>
      </c>
      <c r="N66" s="21">
        <f>IF(Tabella15[[#This Row],[ALL]]&gt;0,1,0)</f>
        <v>0</v>
      </c>
      <c r="O66" s="1"/>
      <c r="P66" s="21">
        <f>IF(Tabella15[[#This Row],[DEPLOYMENT]]&gt;0,1,0)</f>
        <v>0</v>
      </c>
      <c r="Q66"/>
      <c r="T66" s="21">
        <f>Tabella15[[#This Row],[issues]]+Tabella15[[#This Row],[High Level]]+Tabella15[[#This Row],[ORCHESTRATION]]</f>
        <v>0</v>
      </c>
      <c r="U66" s="21">
        <f>IF(Tabella15[[#This Row],[ALL2]]&gt;0,1,0)</f>
        <v>0</v>
      </c>
      <c r="V66"/>
      <c r="Y66" s="21">
        <f>Tabella15[[#This Row],[Logginh]]+Tabella15[[#This Row],[Monitoring]]+Tabella15[[#This Row],[Performance]]</f>
        <v>0</v>
      </c>
      <c r="Z66" s="21">
        <f>IF(Tabella15[[#This Row],[ALL3]]&gt;0,1,0)</f>
        <v>0</v>
      </c>
      <c r="AA66" s="1"/>
      <c r="AB66" s="21">
        <f>IF(Tabella15[[#This Row],[TESTING]]&gt;0,1,0)</f>
        <v>0</v>
      </c>
      <c r="AC66"/>
      <c r="AE66">
        <v>2</v>
      </c>
      <c r="AH66" s="21">
        <f>Tabella15[[#This Row],[PRIVACY]]+Tabella15[[#This Row],[MATURITY MODEL]]+Tabella15[[#This Row],[ADDITIONAL]]+Tabella15[[#This Row],[DEVSECOPS]]+Tabella15[[#This Row],[SECURITY]]</f>
        <v>2</v>
      </c>
      <c r="AI66" s="21">
        <f>IF(Tabella15[[#This Row],[ALL4]]&gt;0,1,0)</f>
        <v>1</v>
      </c>
      <c r="AJ66" s="1"/>
      <c r="AK66" s="1">
        <v>1</v>
      </c>
      <c r="AL66" s="1">
        <f>(Tabella15[[#This Row],[ALL5]]+Tabella15[[#This Row],[ALL6]]+Tabella15[[#This Row],[ALL22]]+Tabella15[[#This Row],[ALL32]]+Tabella15[[#This Row],[ALL7]]+Tabella15[[#This Row],[ALL8]])*Tabella15[[#This Row],[Citazioni distinte]]</f>
        <v>1</v>
      </c>
      <c r="AM66" s="1">
        <f>(Tabella15[[#This Row],[ALL5]]+Tabella15[[#This Row],[ALL6]]+Tabella15[[#This Row],[ALL22]]+Tabella15[[#This Row],[ALL32]]+Tabella15[[#This Row],[ALL7]]+Tabella15[[#This Row],[ALL8]])*Tabella15[[#This Row],[PUNTO]]</f>
        <v>2.99</v>
      </c>
      <c r="AN66" s="6" t="s">
        <v>102</v>
      </c>
      <c r="AO66" s="1">
        <v>13</v>
      </c>
      <c r="AP66" s="1" t="s">
        <v>102</v>
      </c>
      <c r="AQ66" s="1" t="s">
        <v>74</v>
      </c>
      <c r="AR66" s="1" t="s">
        <v>102</v>
      </c>
      <c r="AS66" s="1" t="s">
        <v>75</v>
      </c>
      <c r="AT66" s="1" t="s">
        <v>77</v>
      </c>
      <c r="AU66" s="1" t="s">
        <v>77</v>
      </c>
      <c r="AV66" t="s">
        <v>669</v>
      </c>
      <c r="AW66">
        <v>2020</v>
      </c>
      <c r="AX66" t="s">
        <v>670</v>
      </c>
      <c r="AY66" t="s">
        <v>671</v>
      </c>
      <c r="AZ66" t="s">
        <v>672</v>
      </c>
      <c r="BB66" t="s">
        <v>673</v>
      </c>
      <c r="BE66" t="s">
        <v>256</v>
      </c>
      <c r="BF66" t="s">
        <v>675</v>
      </c>
      <c r="BG66" t="s">
        <v>676</v>
      </c>
      <c r="BH66" t="s">
        <v>677</v>
      </c>
      <c r="BI66" t="s">
        <v>674</v>
      </c>
      <c r="BJ66" s="1">
        <v>1</v>
      </c>
      <c r="BK66" s="1">
        <v>0</v>
      </c>
      <c r="BL66" s="1">
        <v>0</v>
      </c>
      <c r="BM66" s="1">
        <v>0</v>
      </c>
      <c r="BN66" s="1">
        <v>1</v>
      </c>
      <c r="BO66"/>
    </row>
    <row r="67" spans="1:67" x14ac:dyDescent="0.55000000000000004">
      <c r="B67" t="s">
        <v>122</v>
      </c>
      <c r="C67" t="s">
        <v>123</v>
      </c>
      <c r="D67" t="s">
        <v>100</v>
      </c>
      <c r="E67" t="s">
        <v>71</v>
      </c>
      <c r="F67" s="4">
        <v>94</v>
      </c>
      <c r="G67" t="s">
        <v>678</v>
      </c>
      <c r="H6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67" s="1">
        <f>(Tabella15[[#This Row],[ALL5]]+Tabella15[[#This Row],[ALL6]]+Tabella15[[#This Row],[ALL22]]+Tabella15[[#This Row],[ALL32]]+Tabella15[[#This Row],[ALL7]]+Tabella15[[#This Row],[ALL8]])</f>
        <v>1</v>
      </c>
      <c r="J67">
        <v>2</v>
      </c>
      <c r="M67" s="21">
        <f>Tabella15[[#This Row],[IOT SPECFIC]]+Tabella15[[#This Row],[MBSE]]+Tabella15[[#This Row],[NEW MODEL]]</f>
        <v>2</v>
      </c>
      <c r="N67" s="21">
        <f>IF(Tabella15[[#This Row],[ALL]]&gt;0,1,0)</f>
        <v>1</v>
      </c>
      <c r="O67" s="1"/>
      <c r="P67" s="21">
        <f>IF(Tabella15[[#This Row],[DEPLOYMENT]]&gt;0,1,0)</f>
        <v>0</v>
      </c>
      <c r="Q67"/>
      <c r="T67" s="21">
        <f>Tabella15[[#This Row],[issues]]+Tabella15[[#This Row],[High Level]]+Tabella15[[#This Row],[ORCHESTRATION]]</f>
        <v>0</v>
      </c>
      <c r="U67" s="21">
        <f>IF(Tabella15[[#This Row],[ALL2]]&gt;0,1,0)</f>
        <v>0</v>
      </c>
      <c r="V67"/>
      <c r="Y67" s="21">
        <f>Tabella15[[#This Row],[Logginh]]+Tabella15[[#This Row],[Monitoring]]+Tabella15[[#This Row],[Performance]]</f>
        <v>0</v>
      </c>
      <c r="Z67" s="21">
        <f>IF(Tabella15[[#This Row],[ALL3]]&gt;0,1,0)</f>
        <v>0</v>
      </c>
      <c r="AA67" s="1"/>
      <c r="AB67" s="21">
        <f>IF(Tabella15[[#This Row],[TESTING]]&gt;0,1,0)</f>
        <v>0</v>
      </c>
      <c r="AC67"/>
      <c r="AH67" s="21">
        <f>Tabella15[[#This Row],[PRIVACY]]+Tabella15[[#This Row],[MATURITY MODEL]]+Tabella15[[#This Row],[ADDITIONAL]]+Tabella15[[#This Row],[DEVSECOPS]]+Tabella15[[#This Row],[SECURITY]]</f>
        <v>0</v>
      </c>
      <c r="AI67" s="21">
        <f>IF(Tabella15[[#This Row],[ALL4]]&gt;0,1,0)</f>
        <v>0</v>
      </c>
      <c r="AJ67" s="1"/>
      <c r="AK67" s="1">
        <v>0</v>
      </c>
      <c r="AL67" s="1">
        <f>(Tabella15[[#This Row],[ALL5]]+Tabella15[[#This Row],[ALL6]]+Tabella15[[#This Row],[ALL22]]+Tabella15[[#This Row],[ALL32]]+Tabella15[[#This Row],[ALL7]]+Tabella15[[#This Row],[ALL8]])*Tabella15[[#This Row],[Citazioni distinte]]</f>
        <v>0</v>
      </c>
      <c r="AM67" s="1">
        <f>(Tabella15[[#This Row],[ALL5]]+Tabella15[[#This Row],[ALL6]]+Tabella15[[#This Row],[ALL22]]+Tabella15[[#This Row],[ALL32]]+Tabella15[[#This Row],[ALL7]]+Tabella15[[#This Row],[ALL8]])*Tabella15[[#This Row],[PUNTO]]</f>
        <v>0.99</v>
      </c>
      <c r="AN67" s="6" t="s">
        <v>73</v>
      </c>
      <c r="AO67" s="1">
        <v>8</v>
      </c>
      <c r="AP67" s="1" t="s">
        <v>75</v>
      </c>
      <c r="AQ67" s="1" t="s">
        <v>75</v>
      </c>
      <c r="AR67" s="1" t="s">
        <v>75</v>
      </c>
      <c r="AS67" s="1" t="s">
        <v>327</v>
      </c>
      <c r="AT67" s="1" t="s">
        <v>76</v>
      </c>
      <c r="AU67" s="1" t="s">
        <v>76</v>
      </c>
      <c r="AV67" t="s">
        <v>679</v>
      </c>
      <c r="AW67">
        <v>2022</v>
      </c>
      <c r="AX67" t="s">
        <v>680</v>
      </c>
      <c r="AZ67" t="s">
        <v>681</v>
      </c>
      <c r="BB67" t="s">
        <v>682</v>
      </c>
      <c r="BE67" t="s">
        <v>100</v>
      </c>
      <c r="BF67" t="s">
        <v>684</v>
      </c>
      <c r="BG67" t="s">
        <v>685</v>
      </c>
      <c r="BH67" t="s">
        <v>686</v>
      </c>
      <c r="BI67" t="s">
        <v>683</v>
      </c>
      <c r="BJ67" s="1">
        <v>0</v>
      </c>
      <c r="BK67" s="1">
        <v>0</v>
      </c>
      <c r="BL67" s="1">
        <v>0</v>
      </c>
      <c r="BM67" s="1">
        <v>0</v>
      </c>
      <c r="BN67" s="1">
        <v>0</v>
      </c>
      <c r="BO67"/>
    </row>
    <row r="68" spans="1:67" x14ac:dyDescent="0.55000000000000004">
      <c r="B68" t="s">
        <v>122</v>
      </c>
      <c r="C68" t="s">
        <v>123</v>
      </c>
      <c r="D68" t="s">
        <v>196</v>
      </c>
      <c r="E68" t="s">
        <v>73</v>
      </c>
      <c r="F68" s="4">
        <v>99</v>
      </c>
      <c r="G68" t="s">
        <v>687</v>
      </c>
      <c r="H6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68" s="1">
        <f>(Tabella15[[#This Row],[ALL5]]+Tabella15[[#This Row],[ALL6]]+Tabella15[[#This Row],[ALL22]]+Tabella15[[#This Row],[ALL32]]+Tabella15[[#This Row],[ALL7]]+Tabella15[[#This Row],[ALL8]])</f>
        <v>1</v>
      </c>
      <c r="J68"/>
      <c r="M68" s="21">
        <f>Tabella15[[#This Row],[IOT SPECFIC]]+Tabella15[[#This Row],[MBSE]]+Tabella15[[#This Row],[NEW MODEL]]</f>
        <v>0</v>
      </c>
      <c r="N68" s="21">
        <f>IF(Tabella15[[#This Row],[ALL]]&gt;0,1,0)</f>
        <v>0</v>
      </c>
      <c r="O68" s="1"/>
      <c r="P68" s="21">
        <f>IF(Tabella15[[#This Row],[DEPLOYMENT]]&gt;0,1,0)</f>
        <v>0</v>
      </c>
      <c r="Q68"/>
      <c r="T68" s="21">
        <f>Tabella15[[#This Row],[issues]]+Tabella15[[#This Row],[High Level]]+Tabella15[[#This Row],[ORCHESTRATION]]</f>
        <v>0</v>
      </c>
      <c r="U68" s="21">
        <f>IF(Tabella15[[#This Row],[ALL2]]&gt;0,1,0)</f>
        <v>0</v>
      </c>
      <c r="V68"/>
      <c r="W68">
        <v>1</v>
      </c>
      <c r="Y68" s="21">
        <f>Tabella15[[#This Row],[Logginh]]+Tabella15[[#This Row],[Monitoring]]+Tabella15[[#This Row],[Performance]]</f>
        <v>1</v>
      </c>
      <c r="Z68" s="21">
        <f>IF(Tabella15[[#This Row],[ALL3]]&gt;0,1,0)</f>
        <v>1</v>
      </c>
      <c r="AA68" s="1"/>
      <c r="AB68" s="21">
        <f>IF(Tabella15[[#This Row],[TESTING]]&gt;0,1,0)</f>
        <v>0</v>
      </c>
      <c r="AC68"/>
      <c r="AH68" s="21">
        <f>Tabella15[[#This Row],[PRIVACY]]+Tabella15[[#This Row],[MATURITY MODEL]]+Tabella15[[#This Row],[ADDITIONAL]]+Tabella15[[#This Row],[DEVSECOPS]]+Tabella15[[#This Row],[SECURITY]]</f>
        <v>0</v>
      </c>
      <c r="AI68" s="21">
        <f>IF(Tabella15[[#This Row],[ALL4]]&gt;0,1,0)</f>
        <v>0</v>
      </c>
      <c r="AJ68" s="1"/>
      <c r="AK68" s="1">
        <v>1</v>
      </c>
      <c r="AL68" s="1">
        <f>(Tabella15[[#This Row],[ALL5]]+Tabella15[[#This Row],[ALL6]]+Tabella15[[#This Row],[ALL22]]+Tabella15[[#This Row],[ALL32]]+Tabella15[[#This Row],[ALL7]]+Tabella15[[#This Row],[ALL8]])*Tabella15[[#This Row],[Citazioni distinte]]</f>
        <v>1</v>
      </c>
      <c r="AM68" s="1">
        <f>(Tabella15[[#This Row],[ALL5]]+Tabella15[[#This Row],[ALL6]]+Tabella15[[#This Row],[ALL22]]+Tabella15[[#This Row],[ALL32]]+Tabella15[[#This Row],[ALL7]]+Tabella15[[#This Row],[ALL8]])*Tabella15[[#This Row],[PUNTO]]</f>
        <v>3.33</v>
      </c>
      <c r="AN68" s="6" t="s">
        <v>102</v>
      </c>
      <c r="AO68" s="1">
        <v>24</v>
      </c>
      <c r="AP68" s="1" t="s">
        <v>102</v>
      </c>
      <c r="AQ68" s="1" t="s">
        <v>102</v>
      </c>
      <c r="AR68" s="1" t="s">
        <v>102</v>
      </c>
      <c r="AS68" s="1" t="s">
        <v>75</v>
      </c>
      <c r="AT68" s="1" t="s">
        <v>77</v>
      </c>
      <c r="AU68" s="1" t="s">
        <v>77</v>
      </c>
      <c r="AV68" t="s">
        <v>688</v>
      </c>
      <c r="AW68">
        <v>2025</v>
      </c>
      <c r="AX68" t="s">
        <v>689</v>
      </c>
      <c r="AY68" s="2" t="s">
        <v>690</v>
      </c>
      <c r="AZ68" t="s">
        <v>691</v>
      </c>
      <c r="BB68" t="s">
        <v>692</v>
      </c>
      <c r="BE68" t="s">
        <v>213</v>
      </c>
      <c r="BF68" t="s">
        <v>694</v>
      </c>
      <c r="BG68" t="s">
        <v>695</v>
      </c>
      <c r="BH68" t="s">
        <v>88</v>
      </c>
      <c r="BI68" t="s">
        <v>693</v>
      </c>
      <c r="BJ68" s="1">
        <v>1</v>
      </c>
      <c r="BK68" s="1">
        <v>0</v>
      </c>
      <c r="BL68" s="1">
        <v>0</v>
      </c>
      <c r="BM68" s="1">
        <v>0</v>
      </c>
      <c r="BN68" s="1">
        <v>1</v>
      </c>
      <c r="BO68"/>
    </row>
    <row r="69" spans="1:67" x14ac:dyDescent="0.55000000000000004">
      <c r="B69" t="s">
        <v>122</v>
      </c>
      <c r="C69" t="s">
        <v>123</v>
      </c>
      <c r="D69" t="s">
        <v>85</v>
      </c>
      <c r="E69" t="s">
        <v>102</v>
      </c>
      <c r="F69" s="4">
        <v>100</v>
      </c>
      <c r="G69" t="s">
        <v>696</v>
      </c>
      <c r="H6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69" s="1">
        <f>(Tabella15[[#This Row],[ALL5]]+Tabella15[[#This Row],[ALL6]]+Tabella15[[#This Row],[ALL22]]+Tabella15[[#This Row],[ALL32]]+Tabella15[[#This Row],[ALL7]]+Tabella15[[#This Row],[ALL8]])</f>
        <v>1</v>
      </c>
      <c r="J69"/>
      <c r="M69" s="21">
        <f>Tabella15[[#This Row],[IOT SPECFIC]]+Tabella15[[#This Row],[MBSE]]+Tabella15[[#This Row],[NEW MODEL]]</f>
        <v>0</v>
      </c>
      <c r="N69" s="21">
        <f>IF(Tabella15[[#This Row],[ALL]]&gt;0,1,0)</f>
        <v>0</v>
      </c>
      <c r="O69" s="1">
        <v>2</v>
      </c>
      <c r="P69" s="21">
        <f>IF(Tabella15[[#This Row],[DEPLOYMENT]]&gt;0,1,0)</f>
        <v>1</v>
      </c>
      <c r="Q69"/>
      <c r="T69" s="21">
        <f>Tabella15[[#This Row],[issues]]+Tabella15[[#This Row],[High Level]]+Tabella15[[#This Row],[ORCHESTRATION]]</f>
        <v>0</v>
      </c>
      <c r="U69" s="21">
        <f>IF(Tabella15[[#This Row],[ALL2]]&gt;0,1,0)</f>
        <v>0</v>
      </c>
      <c r="V69"/>
      <c r="Y69" s="21">
        <f>Tabella15[[#This Row],[Logginh]]+Tabella15[[#This Row],[Monitoring]]+Tabella15[[#This Row],[Performance]]</f>
        <v>0</v>
      </c>
      <c r="Z69" s="21">
        <f>IF(Tabella15[[#This Row],[ALL3]]&gt;0,1,0)</f>
        <v>0</v>
      </c>
      <c r="AA69" s="1"/>
      <c r="AB69" s="21">
        <f>IF(Tabella15[[#This Row],[TESTING]]&gt;0,1,0)</f>
        <v>0</v>
      </c>
      <c r="AC69"/>
      <c r="AH69" s="21">
        <f>Tabella15[[#This Row],[PRIVACY]]+Tabella15[[#This Row],[MATURITY MODEL]]+Tabella15[[#This Row],[ADDITIONAL]]+Tabella15[[#This Row],[DEVSECOPS]]+Tabella15[[#This Row],[SECURITY]]</f>
        <v>0</v>
      </c>
      <c r="AI69" s="21">
        <f>IF(Tabella15[[#This Row],[ALL4]]&gt;0,1,0)</f>
        <v>0</v>
      </c>
      <c r="AJ69" s="1"/>
      <c r="AK69" s="1">
        <v>7</v>
      </c>
      <c r="AL69" s="1">
        <f>(Tabella15[[#This Row],[ALL5]]+Tabella15[[#This Row],[ALL6]]+Tabella15[[#This Row],[ALL22]]+Tabella15[[#This Row],[ALL32]]+Tabella15[[#This Row],[ALL7]]+Tabella15[[#This Row],[ALL8]])*Tabella15[[#This Row],[Citazioni distinte]]</f>
        <v>7</v>
      </c>
      <c r="AM69" s="1">
        <f>(Tabella15[[#This Row],[ALL5]]+Tabella15[[#This Row],[ALL6]]+Tabella15[[#This Row],[ALL22]]+Tabella15[[#This Row],[ALL32]]+Tabella15[[#This Row],[ALL7]]+Tabella15[[#This Row],[ALL8]])*Tabella15[[#This Row],[PUNTO]]</f>
        <v>3.33</v>
      </c>
      <c r="AN69" s="6" t="s">
        <v>102</v>
      </c>
      <c r="AO69" s="1">
        <v>18</v>
      </c>
      <c r="AP69" s="1" t="s">
        <v>102</v>
      </c>
      <c r="AQ69" s="1" t="s">
        <v>102</v>
      </c>
      <c r="AR69" s="1" t="s">
        <v>102</v>
      </c>
      <c r="AS69" s="1" t="s">
        <v>75</v>
      </c>
      <c r="AT69" s="1" t="s">
        <v>77</v>
      </c>
      <c r="AU69" s="1" t="s">
        <v>77</v>
      </c>
      <c r="AV69" t="s">
        <v>697</v>
      </c>
      <c r="AW69">
        <v>2024</v>
      </c>
      <c r="AX69" t="s">
        <v>698</v>
      </c>
      <c r="AY69" t="s">
        <v>699</v>
      </c>
      <c r="AZ69" t="s">
        <v>700</v>
      </c>
      <c r="BB69" t="s">
        <v>701</v>
      </c>
      <c r="BE69" t="s">
        <v>85</v>
      </c>
      <c r="BF69" t="s">
        <v>703</v>
      </c>
      <c r="BG69" t="s">
        <v>704</v>
      </c>
      <c r="BH69" t="s">
        <v>705</v>
      </c>
      <c r="BI69" t="s">
        <v>702</v>
      </c>
      <c r="BJ69" s="1">
        <v>7</v>
      </c>
      <c r="BK69" s="1">
        <v>0</v>
      </c>
      <c r="BL69" s="1">
        <v>4</v>
      </c>
      <c r="BM69" s="1">
        <v>0</v>
      </c>
      <c r="BN69" s="1">
        <v>7</v>
      </c>
      <c r="BO69"/>
    </row>
    <row r="70" spans="1:67" x14ac:dyDescent="0.55000000000000004">
      <c r="B70" t="s">
        <v>122</v>
      </c>
      <c r="C70" t="s">
        <v>123</v>
      </c>
      <c r="D70" t="s">
        <v>207</v>
      </c>
      <c r="E70" t="s">
        <v>102</v>
      </c>
      <c r="F70" s="4">
        <v>103</v>
      </c>
      <c r="G70" t="s">
        <v>706</v>
      </c>
      <c r="H7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3.3200000000000003</v>
      </c>
      <c r="I70" s="1">
        <f>(Tabella15[[#This Row],[ALL5]]+Tabella15[[#This Row],[ALL6]]+Tabella15[[#This Row],[ALL22]]+Tabella15[[#This Row],[ALL32]]+Tabella15[[#This Row],[ALL7]]+Tabella15[[#This Row],[ALL8]])</f>
        <v>1</v>
      </c>
      <c r="J70"/>
      <c r="M70" s="21">
        <f>Tabella15[[#This Row],[IOT SPECFIC]]+Tabella15[[#This Row],[MBSE]]+Tabella15[[#This Row],[NEW MODEL]]</f>
        <v>0</v>
      </c>
      <c r="N70" s="21">
        <f>IF(Tabella15[[#This Row],[ALL]]&gt;0,1,0)</f>
        <v>0</v>
      </c>
      <c r="O70" s="1">
        <v>3</v>
      </c>
      <c r="P70" s="21">
        <f>IF(Tabella15[[#This Row],[DEPLOYMENT]]&gt;0,1,0)</f>
        <v>1</v>
      </c>
      <c r="Q70" s="1"/>
      <c r="R70" s="1"/>
      <c r="S70" s="1"/>
      <c r="T70" s="21">
        <f>Tabella15[[#This Row],[issues]]+Tabella15[[#This Row],[High Level]]+Tabella15[[#This Row],[ORCHESTRATION]]</f>
        <v>0</v>
      </c>
      <c r="U70" s="21">
        <f>IF(Tabella15[[#This Row],[ALL2]]&gt;0,1,0)</f>
        <v>0</v>
      </c>
      <c r="V70" s="1"/>
      <c r="W70" s="1"/>
      <c r="X70" s="1"/>
      <c r="Y70" s="21">
        <f>Tabella15[[#This Row],[Logginh]]+Tabella15[[#This Row],[Monitoring]]+Tabella15[[#This Row],[Performance]]</f>
        <v>0</v>
      </c>
      <c r="Z70" s="21">
        <f>IF(Tabella15[[#This Row],[ALL3]]&gt;0,1,0)</f>
        <v>0</v>
      </c>
      <c r="AA70" s="1"/>
      <c r="AB70" s="21">
        <f>IF(Tabella15[[#This Row],[TESTING]]&gt;0,1,0)</f>
        <v>0</v>
      </c>
      <c r="AC70" s="1"/>
      <c r="AD70" s="1"/>
      <c r="AE70" s="1"/>
      <c r="AF70" s="1"/>
      <c r="AG70" s="1"/>
      <c r="AH70" s="21">
        <f>Tabella15[[#This Row],[PRIVACY]]+Tabella15[[#This Row],[MATURITY MODEL]]+Tabella15[[#This Row],[ADDITIONAL]]+Tabella15[[#This Row],[DEVSECOPS]]+Tabella15[[#This Row],[SECURITY]]</f>
        <v>0</v>
      </c>
      <c r="AI70" s="21">
        <f>IF(Tabella15[[#This Row],[ALL4]]&gt;0,1,0)</f>
        <v>0</v>
      </c>
      <c r="AJ70" s="1">
        <v>1</v>
      </c>
      <c r="AK70" s="1">
        <v>0</v>
      </c>
      <c r="AL70" s="1">
        <f>(Tabella15[[#This Row],[ALL5]]+Tabella15[[#This Row],[ALL6]]+Tabella15[[#This Row],[ALL22]]+Tabella15[[#This Row],[ALL32]]+Tabella15[[#This Row],[ALL7]]+Tabella15[[#This Row],[ALL8]])*Tabella15[[#This Row],[Citazioni distinte]]</f>
        <v>0</v>
      </c>
      <c r="AM70" s="1">
        <f>(Tabella15[[#This Row],[ALL5]]+Tabella15[[#This Row],[ALL6]]+Tabella15[[#This Row],[ALL22]]+Tabella15[[#This Row],[ALL32]]+Tabella15[[#This Row],[ALL7]]+Tabella15[[#This Row],[ALL8]])*Tabella15[[#This Row],[PUNTO]]</f>
        <v>3.3200000000000003</v>
      </c>
      <c r="AN70" s="6" t="s">
        <v>73</v>
      </c>
      <c r="AO70" s="1">
        <v>31</v>
      </c>
      <c r="AP70" s="1" t="s">
        <v>102</v>
      </c>
      <c r="AQ70" s="1" t="s">
        <v>74</v>
      </c>
      <c r="AR70" s="1" t="s">
        <v>102</v>
      </c>
      <c r="AS70" s="1" t="s">
        <v>74</v>
      </c>
      <c r="AT70" s="1" t="s">
        <v>77</v>
      </c>
      <c r="AU70" s="1" t="s">
        <v>77</v>
      </c>
      <c r="AV70" t="s">
        <v>707</v>
      </c>
      <c r="AW70">
        <v>2025</v>
      </c>
      <c r="AX70" t="s">
        <v>708</v>
      </c>
      <c r="AY70" s="2" t="s">
        <v>709</v>
      </c>
      <c r="AZ70" t="s">
        <v>710</v>
      </c>
      <c r="BB70" t="s">
        <v>574</v>
      </c>
      <c r="BE70" t="s">
        <v>85</v>
      </c>
      <c r="BF70" t="s">
        <v>712</v>
      </c>
      <c r="BG70" t="s">
        <v>713</v>
      </c>
      <c r="BH70" t="s">
        <v>714</v>
      </c>
      <c r="BI70" t="s">
        <v>711</v>
      </c>
      <c r="BJ70" s="1">
        <v>0</v>
      </c>
      <c r="BK70" s="1">
        <v>0</v>
      </c>
      <c r="BL70" s="1">
        <v>0</v>
      </c>
      <c r="BM70" s="1">
        <v>0</v>
      </c>
      <c r="BN70" s="1">
        <v>0</v>
      </c>
      <c r="BO70"/>
    </row>
    <row r="71" spans="1:67" x14ac:dyDescent="0.55000000000000004">
      <c r="A71" t="s">
        <v>715</v>
      </c>
      <c r="B71" t="s">
        <v>68</v>
      </c>
      <c r="C71" t="s">
        <v>69</v>
      </c>
      <c r="D71" t="s">
        <v>85</v>
      </c>
      <c r="E71" t="s">
        <v>73</v>
      </c>
      <c r="F71" s="4">
        <v>105</v>
      </c>
      <c r="G71" t="s">
        <v>716</v>
      </c>
      <c r="H7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2.3200000000000003</v>
      </c>
      <c r="I71" s="1">
        <f>(Tabella15[[#This Row],[ALL5]]+Tabella15[[#This Row],[ALL6]]+Tabella15[[#This Row],[ALL22]]+Tabella15[[#This Row],[ALL32]]+Tabella15[[#This Row],[ALL7]]+Tabella15[[#This Row],[ALL8]])</f>
        <v>1</v>
      </c>
      <c r="J71"/>
      <c r="M71" s="21">
        <f>Tabella15[[#This Row],[IOT SPECFIC]]+Tabella15[[#This Row],[MBSE]]+Tabella15[[#This Row],[NEW MODEL]]</f>
        <v>0</v>
      </c>
      <c r="N71" s="21">
        <f>IF(Tabella15[[#This Row],[ALL]]&gt;0,1,0)</f>
        <v>0</v>
      </c>
      <c r="O71" s="1"/>
      <c r="P71" s="21">
        <f>IF(Tabella15[[#This Row],[DEPLOYMENT]]&gt;0,1,0)</f>
        <v>0</v>
      </c>
      <c r="Q71"/>
      <c r="T71" s="21">
        <f>Tabella15[[#This Row],[issues]]+Tabella15[[#This Row],[High Level]]+Tabella15[[#This Row],[ORCHESTRATION]]</f>
        <v>0</v>
      </c>
      <c r="U71" s="21">
        <f>IF(Tabella15[[#This Row],[ALL2]]&gt;0,1,0)</f>
        <v>0</v>
      </c>
      <c r="V71"/>
      <c r="W71">
        <v>1</v>
      </c>
      <c r="Y71" s="21">
        <f>Tabella15[[#This Row],[Logginh]]+Tabella15[[#This Row],[Monitoring]]+Tabella15[[#This Row],[Performance]]</f>
        <v>1</v>
      </c>
      <c r="Z71" s="21">
        <f>IF(Tabella15[[#This Row],[ALL3]]&gt;0,1,0)</f>
        <v>1</v>
      </c>
      <c r="AA71" s="1"/>
      <c r="AB71" s="21">
        <f>IF(Tabella15[[#This Row],[TESTING]]&gt;0,1,0)</f>
        <v>0</v>
      </c>
      <c r="AC71"/>
      <c r="AH71" s="21">
        <f>Tabella15[[#This Row],[PRIVACY]]+Tabella15[[#This Row],[MATURITY MODEL]]+Tabella15[[#This Row],[ADDITIONAL]]+Tabella15[[#This Row],[DEVSECOPS]]+Tabella15[[#This Row],[SECURITY]]</f>
        <v>0</v>
      </c>
      <c r="AI71" s="21">
        <f>IF(Tabella15[[#This Row],[ALL4]]&gt;0,1,0)</f>
        <v>0</v>
      </c>
      <c r="AJ71" s="1"/>
      <c r="AK71" s="1">
        <v>0</v>
      </c>
      <c r="AL71" s="1">
        <f>(Tabella15[[#This Row],[ALL5]]+Tabella15[[#This Row],[ALL6]]+Tabella15[[#This Row],[ALL22]]+Tabella15[[#This Row],[ALL32]]+Tabella15[[#This Row],[ALL7]]+Tabella15[[#This Row],[ALL8]])*Tabella15[[#This Row],[Citazioni distinte]]</f>
        <v>0</v>
      </c>
      <c r="AM71" s="1">
        <f>(Tabella15[[#This Row],[ALL5]]+Tabella15[[#This Row],[ALL6]]+Tabella15[[#This Row],[ALL22]]+Tabella15[[#This Row],[ALL32]]+Tabella15[[#This Row],[ALL7]]+Tabella15[[#This Row],[ALL8]])*Tabella15[[#This Row],[PUNTO]]</f>
        <v>2.3200000000000003</v>
      </c>
      <c r="AN71" s="6" t="s">
        <v>102</v>
      </c>
      <c r="AO71" s="1">
        <v>13</v>
      </c>
      <c r="AP71" s="1" t="s">
        <v>74</v>
      </c>
      <c r="AQ71" s="1" t="s">
        <v>102</v>
      </c>
      <c r="AR71" s="1" t="s">
        <v>75</v>
      </c>
      <c r="AS71" s="1" t="s">
        <v>75</v>
      </c>
      <c r="AT71" s="1" t="s">
        <v>77</v>
      </c>
      <c r="AU71" s="1" t="s">
        <v>77</v>
      </c>
      <c r="AV71" t="s">
        <v>717</v>
      </c>
      <c r="AW71">
        <v>2026</v>
      </c>
      <c r="AX71" t="s">
        <v>718</v>
      </c>
      <c r="AY71" s="2" t="s">
        <v>719</v>
      </c>
      <c r="AZ71" t="s">
        <v>720</v>
      </c>
      <c r="BB71" t="s">
        <v>721</v>
      </c>
      <c r="BE71" t="s">
        <v>85</v>
      </c>
      <c r="BF71" t="s">
        <v>723</v>
      </c>
      <c r="BG71" t="s">
        <v>724</v>
      </c>
      <c r="BH71" t="s">
        <v>187</v>
      </c>
      <c r="BI71" t="s">
        <v>722</v>
      </c>
      <c r="BJ71" s="1">
        <v>0</v>
      </c>
      <c r="BK71" s="1">
        <v>0</v>
      </c>
      <c r="BL71" s="1">
        <v>0</v>
      </c>
      <c r="BM71" s="1">
        <v>0</v>
      </c>
      <c r="BN71" s="1">
        <v>0</v>
      </c>
      <c r="BO71"/>
    </row>
    <row r="72" spans="1:67" x14ac:dyDescent="0.55000000000000004">
      <c r="A72" t="s">
        <v>725</v>
      </c>
      <c r="B72" t="s">
        <v>68</v>
      </c>
      <c r="C72" t="s">
        <v>69</v>
      </c>
      <c r="D72" t="s">
        <v>213</v>
      </c>
      <c r="E72" t="s">
        <v>73</v>
      </c>
      <c r="F72" s="4">
        <v>107</v>
      </c>
      <c r="G72" t="s">
        <v>726</v>
      </c>
      <c r="H7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72" s="1">
        <f>(Tabella15[[#This Row],[ALL5]]+Tabella15[[#This Row],[ALL6]]+Tabella15[[#This Row],[ALL22]]+Tabella15[[#This Row],[ALL32]]+Tabella15[[#This Row],[ALL7]]+Tabella15[[#This Row],[ALL8]])</f>
        <v>2</v>
      </c>
      <c r="J72"/>
      <c r="M72" s="21">
        <f>Tabella15[[#This Row],[IOT SPECFIC]]+Tabella15[[#This Row],[MBSE]]+Tabella15[[#This Row],[NEW MODEL]]</f>
        <v>0</v>
      </c>
      <c r="N72" s="21">
        <f>IF(Tabella15[[#This Row],[ALL]]&gt;0,1,0)</f>
        <v>0</v>
      </c>
      <c r="O72" s="1"/>
      <c r="P72" s="21">
        <f>IF(Tabella15[[#This Row],[DEPLOYMENT]]&gt;0,1,0)</f>
        <v>0</v>
      </c>
      <c r="Q72"/>
      <c r="S72">
        <v>2</v>
      </c>
      <c r="T72" s="21">
        <f>Tabella15[[#This Row],[issues]]+Tabella15[[#This Row],[High Level]]+Tabella15[[#This Row],[ORCHESTRATION]]</f>
        <v>2</v>
      </c>
      <c r="U72" s="21">
        <f>IF(Tabella15[[#This Row],[ALL2]]&gt;0,1,0)</f>
        <v>1</v>
      </c>
      <c r="V72"/>
      <c r="W72">
        <v>1</v>
      </c>
      <c r="Y72" s="21">
        <f>Tabella15[[#This Row],[Logginh]]+Tabella15[[#This Row],[Monitoring]]+Tabella15[[#This Row],[Performance]]</f>
        <v>1</v>
      </c>
      <c r="Z72" s="21">
        <f>IF(Tabella15[[#This Row],[ALL3]]&gt;0,1,0)</f>
        <v>1</v>
      </c>
      <c r="AA72" s="1"/>
      <c r="AB72" s="21">
        <f>IF(Tabella15[[#This Row],[TESTING]]&gt;0,1,0)</f>
        <v>0</v>
      </c>
      <c r="AC72"/>
      <c r="AH72" s="21">
        <f>Tabella15[[#This Row],[PRIVACY]]+Tabella15[[#This Row],[MATURITY MODEL]]+Tabella15[[#This Row],[ADDITIONAL]]+Tabella15[[#This Row],[DEVSECOPS]]+Tabella15[[#This Row],[SECURITY]]</f>
        <v>0</v>
      </c>
      <c r="AI72" s="21">
        <f>IF(Tabella15[[#This Row],[ALL4]]&gt;0,1,0)</f>
        <v>0</v>
      </c>
      <c r="AJ72" s="1"/>
      <c r="AK72" s="1">
        <v>0</v>
      </c>
      <c r="AL72" s="1">
        <f>(Tabella15[[#This Row],[ALL5]]+Tabella15[[#This Row],[ALL6]]+Tabella15[[#This Row],[ALL22]]+Tabella15[[#This Row],[ALL32]]+Tabella15[[#This Row],[ALL7]]+Tabella15[[#This Row],[ALL8]])*Tabella15[[#This Row],[Citazioni distinte]]</f>
        <v>0</v>
      </c>
      <c r="AM72" s="1">
        <f>(Tabella15[[#This Row],[ALL5]]+Tabella15[[#This Row],[ALL6]]+Tabella15[[#This Row],[ALL22]]+Tabella15[[#This Row],[ALL32]]+Tabella15[[#This Row],[ALL7]]+Tabella15[[#This Row],[ALL8]])*Tabella15[[#This Row],[PUNTO]]</f>
        <v>1.98</v>
      </c>
      <c r="AN72" s="6" t="s">
        <v>73</v>
      </c>
      <c r="AO72" s="1">
        <v>6</v>
      </c>
      <c r="AP72" s="1" t="s">
        <v>75</v>
      </c>
      <c r="AQ72" s="1" t="s">
        <v>75</v>
      </c>
      <c r="AR72" s="1" t="s">
        <v>75</v>
      </c>
      <c r="AS72" s="1" t="s">
        <v>327</v>
      </c>
      <c r="AT72" s="1" t="s">
        <v>76</v>
      </c>
      <c r="AU72" s="1" t="s">
        <v>77</v>
      </c>
      <c r="AV72" t="s">
        <v>727</v>
      </c>
      <c r="AW72">
        <v>2026</v>
      </c>
      <c r="AX72" t="s">
        <v>728</v>
      </c>
      <c r="AY72" t="s">
        <v>729</v>
      </c>
      <c r="AZ72" t="s">
        <v>730</v>
      </c>
      <c r="BB72" t="s">
        <v>731</v>
      </c>
      <c r="BE72" t="s">
        <v>213</v>
      </c>
      <c r="BF72" t="s">
        <v>733</v>
      </c>
      <c r="BG72" t="s">
        <v>734</v>
      </c>
      <c r="BH72" t="s">
        <v>735</v>
      </c>
      <c r="BI72" t="s">
        <v>732</v>
      </c>
      <c r="BJ72" s="1">
        <v>0</v>
      </c>
      <c r="BK72" s="1">
        <v>0</v>
      </c>
      <c r="BL72" s="1">
        <v>0</v>
      </c>
      <c r="BM72" s="1">
        <v>0</v>
      </c>
      <c r="BN72" s="1">
        <v>0</v>
      </c>
      <c r="BO72"/>
    </row>
    <row r="73" spans="1:67" x14ac:dyDescent="0.55000000000000004">
      <c r="A73" t="s">
        <v>715</v>
      </c>
      <c r="B73" t="s">
        <v>68</v>
      </c>
      <c r="C73" t="s">
        <v>69</v>
      </c>
      <c r="D73" t="s">
        <v>85</v>
      </c>
      <c r="E73" t="s">
        <v>73</v>
      </c>
      <c r="F73" s="4">
        <v>112</v>
      </c>
      <c r="G73" t="s">
        <v>736</v>
      </c>
      <c r="H7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73" s="1">
        <f>(Tabella15[[#This Row],[ALL5]]+Tabella15[[#This Row],[ALL6]]+Tabella15[[#This Row],[ALL22]]+Tabella15[[#This Row],[ALL32]]+Tabella15[[#This Row],[ALL7]]+Tabella15[[#This Row],[ALL8]])</f>
        <v>1</v>
      </c>
      <c r="J73"/>
      <c r="M73" s="21">
        <f>Tabella15[[#This Row],[IOT SPECFIC]]+Tabella15[[#This Row],[MBSE]]+Tabella15[[#This Row],[NEW MODEL]]</f>
        <v>0</v>
      </c>
      <c r="N73" s="21">
        <f>IF(Tabella15[[#This Row],[ALL]]&gt;0,1,0)</f>
        <v>0</v>
      </c>
      <c r="O73" s="1">
        <v>3</v>
      </c>
      <c r="P73" s="21">
        <f>IF(Tabella15[[#This Row],[DEPLOYMENT]]&gt;0,1,0)</f>
        <v>1</v>
      </c>
      <c r="Q73" s="1"/>
      <c r="R73" s="1"/>
      <c r="S73" s="1"/>
      <c r="T73" s="21">
        <f>Tabella15[[#This Row],[issues]]+Tabella15[[#This Row],[High Level]]+Tabella15[[#This Row],[ORCHESTRATION]]</f>
        <v>0</v>
      </c>
      <c r="U73" s="21">
        <f>IF(Tabella15[[#This Row],[ALL2]]&gt;0,1,0)</f>
        <v>0</v>
      </c>
      <c r="V73" s="1"/>
      <c r="W73" s="1"/>
      <c r="X73" s="1"/>
      <c r="Y73" s="21">
        <f>Tabella15[[#This Row],[Logginh]]+Tabella15[[#This Row],[Monitoring]]+Tabella15[[#This Row],[Performance]]</f>
        <v>0</v>
      </c>
      <c r="Z73" s="21">
        <f>IF(Tabella15[[#This Row],[ALL3]]&gt;0,1,0)</f>
        <v>0</v>
      </c>
      <c r="AA73" s="1"/>
      <c r="AB73" s="21">
        <f>IF(Tabella15[[#This Row],[TESTING]]&gt;0,1,0)</f>
        <v>0</v>
      </c>
      <c r="AC73" s="1"/>
      <c r="AD73" s="1"/>
      <c r="AE73" s="1"/>
      <c r="AF73" s="1"/>
      <c r="AG73" s="1"/>
      <c r="AH73" s="21">
        <f>Tabella15[[#This Row],[PRIVACY]]+Tabella15[[#This Row],[MATURITY MODEL]]+Tabella15[[#This Row],[ADDITIONAL]]+Tabella15[[#This Row],[DEVSECOPS]]+Tabella15[[#This Row],[SECURITY]]</f>
        <v>0</v>
      </c>
      <c r="AI73" s="21">
        <f>IF(Tabella15[[#This Row],[ALL4]]&gt;0,1,0)</f>
        <v>0</v>
      </c>
      <c r="AJ73" s="1">
        <v>-1</v>
      </c>
      <c r="AK73" s="1">
        <v>1</v>
      </c>
      <c r="AL73" s="1">
        <f>(Tabella15[[#This Row],[ALL5]]+Tabella15[[#This Row],[ALL6]]+Tabella15[[#This Row],[ALL22]]+Tabella15[[#This Row],[ALL32]]+Tabella15[[#This Row],[ALL7]]+Tabella15[[#This Row],[ALL8]])*Tabella15[[#This Row],[Citazioni distinte]]</f>
        <v>1</v>
      </c>
      <c r="AM73" s="1">
        <f>(Tabella15[[#This Row],[ALL5]]+Tabella15[[#This Row],[ALL6]]+Tabella15[[#This Row],[ALL22]]+Tabella15[[#This Row],[ALL32]]+Tabella15[[#This Row],[ALL7]]+Tabella15[[#This Row],[ALL8]])*Tabella15[[#This Row],[PUNTO]]</f>
        <v>4</v>
      </c>
      <c r="AN73" s="6" t="s">
        <v>73</v>
      </c>
      <c r="AO73" s="1">
        <v>16</v>
      </c>
      <c r="AP73" s="1" t="s">
        <v>102</v>
      </c>
      <c r="AQ73" s="1" t="s">
        <v>102</v>
      </c>
      <c r="AR73" s="1" t="s">
        <v>102</v>
      </c>
      <c r="AS73" s="1" t="s">
        <v>102</v>
      </c>
      <c r="AT73" s="1" t="s">
        <v>77</v>
      </c>
      <c r="AU73" s="1" t="s">
        <v>77</v>
      </c>
      <c r="AV73" t="s">
        <v>737</v>
      </c>
      <c r="AW73">
        <v>2026</v>
      </c>
      <c r="AX73" t="s">
        <v>738</v>
      </c>
      <c r="AY73" s="2" t="s">
        <v>739</v>
      </c>
      <c r="AZ73" t="s">
        <v>740</v>
      </c>
      <c r="BB73" t="s">
        <v>731</v>
      </c>
      <c r="BE73" t="s">
        <v>85</v>
      </c>
      <c r="BF73" t="s">
        <v>742</v>
      </c>
      <c r="BG73" t="s">
        <v>743</v>
      </c>
      <c r="BH73" t="s">
        <v>744</v>
      </c>
      <c r="BI73" t="s">
        <v>741</v>
      </c>
      <c r="BJ73" s="1">
        <v>1</v>
      </c>
      <c r="BK73" s="1">
        <v>0</v>
      </c>
      <c r="BL73" s="1">
        <v>0</v>
      </c>
      <c r="BM73" s="1">
        <v>0</v>
      </c>
      <c r="BN73" s="1">
        <v>1</v>
      </c>
      <c r="BO73"/>
    </row>
    <row r="74" spans="1:67" x14ac:dyDescent="0.55000000000000004">
      <c r="A74" t="s">
        <v>745</v>
      </c>
      <c r="B74" t="s">
        <v>206</v>
      </c>
      <c r="C74" t="s">
        <v>69</v>
      </c>
      <c r="D74" t="s">
        <v>85</v>
      </c>
      <c r="E74" t="s">
        <v>73</v>
      </c>
      <c r="F74" s="4">
        <v>113</v>
      </c>
      <c r="G74" t="s">
        <v>746</v>
      </c>
      <c r="H7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v>
      </c>
      <c r="I74" s="1">
        <f>(Tabella15[[#This Row],[ALL5]]+Tabella15[[#This Row],[ALL6]]+Tabella15[[#This Row],[ALL22]]+Tabella15[[#This Row],[ALL32]]+Tabella15[[#This Row],[ALL7]]+Tabella15[[#This Row],[ALL8]])</f>
        <v>1</v>
      </c>
      <c r="J74"/>
      <c r="M74" s="21">
        <f>Tabella15[[#This Row],[IOT SPECFIC]]+Tabella15[[#This Row],[MBSE]]+Tabella15[[#This Row],[NEW MODEL]]</f>
        <v>0</v>
      </c>
      <c r="N74" s="21">
        <f>IF(Tabella15[[#This Row],[ALL]]&gt;0,1,0)</f>
        <v>0</v>
      </c>
      <c r="O74" s="1">
        <v>3</v>
      </c>
      <c r="P74" s="21">
        <f>IF(Tabella15[[#This Row],[DEPLOYMENT]]&gt;0,1,0)</f>
        <v>1</v>
      </c>
      <c r="Q74"/>
      <c r="T74" s="21">
        <f>Tabella15[[#This Row],[issues]]+Tabella15[[#This Row],[High Level]]+Tabella15[[#This Row],[ORCHESTRATION]]</f>
        <v>0</v>
      </c>
      <c r="U74" s="21">
        <f>IF(Tabella15[[#This Row],[ALL2]]&gt;0,1,0)</f>
        <v>0</v>
      </c>
      <c r="V74"/>
      <c r="Y74" s="21">
        <f>Tabella15[[#This Row],[Logginh]]+Tabella15[[#This Row],[Monitoring]]+Tabella15[[#This Row],[Performance]]</f>
        <v>0</v>
      </c>
      <c r="Z74" s="21">
        <f>IF(Tabella15[[#This Row],[ALL3]]&gt;0,1,0)</f>
        <v>0</v>
      </c>
      <c r="AA74" s="1"/>
      <c r="AB74" s="21">
        <f>IF(Tabella15[[#This Row],[TESTING]]&gt;0,1,0)</f>
        <v>0</v>
      </c>
      <c r="AC74"/>
      <c r="AH74" s="21">
        <f>Tabella15[[#This Row],[PRIVACY]]+Tabella15[[#This Row],[MATURITY MODEL]]+Tabella15[[#This Row],[ADDITIONAL]]+Tabella15[[#This Row],[DEVSECOPS]]+Tabella15[[#This Row],[SECURITY]]</f>
        <v>0</v>
      </c>
      <c r="AI74" s="21">
        <f>IF(Tabella15[[#This Row],[ALL4]]&gt;0,1,0)</f>
        <v>0</v>
      </c>
      <c r="AJ74" s="1"/>
      <c r="AK74" s="1">
        <v>0</v>
      </c>
      <c r="AL74" s="1">
        <f>(Tabella15[[#This Row],[ALL5]]+Tabella15[[#This Row],[ALL6]]+Tabella15[[#This Row],[ALL22]]+Tabella15[[#This Row],[ALL32]]+Tabella15[[#This Row],[ALL7]]+Tabella15[[#This Row],[ALL8]])*Tabella15[[#This Row],[Citazioni distinte]]</f>
        <v>0</v>
      </c>
      <c r="AM74" s="1">
        <f>(Tabella15[[#This Row],[ALL5]]+Tabella15[[#This Row],[ALL6]]+Tabella15[[#This Row],[ALL22]]+Tabella15[[#This Row],[ALL32]]+Tabella15[[#This Row],[ALL7]]+Tabella15[[#This Row],[ALL8]])*Tabella15[[#This Row],[PUNTO]]</f>
        <v>1.98</v>
      </c>
      <c r="AN74" s="6"/>
      <c r="AO74" s="1">
        <v>6</v>
      </c>
      <c r="AP74" s="1" t="s">
        <v>75</v>
      </c>
      <c r="AQ74" s="1" t="s">
        <v>74</v>
      </c>
      <c r="AR74" s="1" t="s">
        <v>75</v>
      </c>
      <c r="AS74" s="1" t="s">
        <v>74</v>
      </c>
      <c r="AT74" s="1" t="s">
        <v>76</v>
      </c>
      <c r="AU74" s="1" t="s">
        <v>77</v>
      </c>
      <c r="AV74" t="s">
        <v>747</v>
      </c>
      <c r="AW74">
        <v>2025</v>
      </c>
      <c r="AX74" t="s">
        <v>748</v>
      </c>
      <c r="AY74" s="2" t="s">
        <v>749</v>
      </c>
      <c r="AZ74" t="s">
        <v>750</v>
      </c>
      <c r="BA74" t="s">
        <v>751</v>
      </c>
      <c r="BE74" t="s">
        <v>85</v>
      </c>
      <c r="BF74" t="s">
        <v>752</v>
      </c>
      <c r="BG74" t="s">
        <v>753</v>
      </c>
      <c r="BH74" t="s">
        <v>754</v>
      </c>
      <c r="BJ74" s="1">
        <v>0</v>
      </c>
      <c r="BK74" s="1">
        <v>0</v>
      </c>
      <c r="BL74" s="1">
        <v>0</v>
      </c>
      <c r="BM74" s="1">
        <v>0</v>
      </c>
      <c r="BN74" s="1">
        <v>0</v>
      </c>
      <c r="BO74"/>
    </row>
    <row r="75" spans="1:67" x14ac:dyDescent="0.55000000000000004">
      <c r="A75" t="s">
        <v>715</v>
      </c>
      <c r="B75" t="s">
        <v>68</v>
      </c>
      <c r="C75" t="s">
        <v>69</v>
      </c>
      <c r="D75" t="s">
        <v>100</v>
      </c>
      <c r="E75" t="s">
        <v>71</v>
      </c>
      <c r="F75" s="4">
        <v>114</v>
      </c>
      <c r="G75" t="s">
        <v>755</v>
      </c>
      <c r="H7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75" s="1">
        <f>(Tabella15[[#This Row],[ALL5]]+Tabella15[[#This Row],[ALL6]]+Tabella15[[#This Row],[ALL22]]+Tabella15[[#This Row],[ALL32]]+Tabella15[[#This Row],[ALL7]]+Tabella15[[#This Row],[ALL8]])</f>
        <v>2</v>
      </c>
      <c r="J75"/>
      <c r="M75" s="21">
        <f>Tabella15[[#This Row],[IOT SPECFIC]]+Tabella15[[#This Row],[MBSE]]+Tabella15[[#This Row],[NEW MODEL]]</f>
        <v>0</v>
      </c>
      <c r="N75" s="21">
        <f>IF(Tabella15[[#This Row],[ALL]]&gt;0,1,0)</f>
        <v>0</v>
      </c>
      <c r="O75" s="1">
        <v>3</v>
      </c>
      <c r="P75" s="21">
        <f>IF(Tabella15[[#This Row],[DEPLOYMENT]]&gt;0,1,0)</f>
        <v>1</v>
      </c>
      <c r="Q75"/>
      <c r="T75" s="21">
        <f>Tabella15[[#This Row],[issues]]+Tabella15[[#This Row],[High Level]]+Tabella15[[#This Row],[ORCHESTRATION]]</f>
        <v>0</v>
      </c>
      <c r="U75" s="21">
        <f>IF(Tabella15[[#This Row],[ALL2]]&gt;0,1,0)</f>
        <v>0</v>
      </c>
      <c r="V75"/>
      <c r="W75">
        <v>1</v>
      </c>
      <c r="Y75" s="21">
        <f>Tabella15[[#This Row],[Logginh]]+Tabella15[[#This Row],[Monitoring]]+Tabella15[[#This Row],[Performance]]</f>
        <v>1</v>
      </c>
      <c r="Z75" s="21">
        <f>IF(Tabella15[[#This Row],[ALL3]]&gt;0,1,0)</f>
        <v>1</v>
      </c>
      <c r="AA75" s="1"/>
      <c r="AB75" s="21">
        <f>IF(Tabella15[[#This Row],[TESTING]]&gt;0,1,0)</f>
        <v>0</v>
      </c>
      <c r="AC75"/>
      <c r="AH75" s="21">
        <f>Tabella15[[#This Row],[PRIVACY]]+Tabella15[[#This Row],[MATURITY MODEL]]+Tabella15[[#This Row],[ADDITIONAL]]+Tabella15[[#This Row],[DEVSECOPS]]+Tabella15[[#This Row],[SECURITY]]</f>
        <v>0</v>
      </c>
      <c r="AI75" s="21">
        <f>IF(Tabella15[[#This Row],[ALL4]]&gt;0,1,0)</f>
        <v>0</v>
      </c>
      <c r="AJ75" s="1"/>
      <c r="AK75" s="1">
        <v>5</v>
      </c>
      <c r="AL75" s="1">
        <f>(Tabella15[[#This Row],[ALL5]]+Tabella15[[#This Row],[ALL6]]+Tabella15[[#This Row],[ALL22]]+Tabella15[[#This Row],[ALL32]]+Tabella15[[#This Row],[ALL7]]+Tabella15[[#This Row],[ALL8]])*Tabella15[[#This Row],[Citazioni distinte]]</f>
        <v>10</v>
      </c>
      <c r="AM75" s="1">
        <f>(Tabella15[[#This Row],[ALL5]]+Tabella15[[#This Row],[ALL6]]+Tabella15[[#This Row],[ALL22]]+Tabella15[[#This Row],[ALL32]]+Tabella15[[#This Row],[ALL7]]+Tabella15[[#This Row],[ALL8]])*Tabella15[[#This Row],[PUNTO]]</f>
        <v>2.64</v>
      </c>
      <c r="AN75" s="6" t="s">
        <v>73</v>
      </c>
      <c r="AO75" s="1">
        <v>10</v>
      </c>
      <c r="AP75" s="1" t="s">
        <v>75</v>
      </c>
      <c r="AQ75" s="1" t="s">
        <v>75</v>
      </c>
      <c r="AR75" s="1" t="s">
        <v>75</v>
      </c>
      <c r="AS75" s="1" t="s">
        <v>75</v>
      </c>
      <c r="AT75" s="1" t="s">
        <v>76</v>
      </c>
      <c r="AU75" s="1" t="s">
        <v>77</v>
      </c>
      <c r="AV75" t="s">
        <v>756</v>
      </c>
      <c r="AW75">
        <v>2019</v>
      </c>
      <c r="AX75" t="s">
        <v>757</v>
      </c>
      <c r="AY75" t="s">
        <v>758</v>
      </c>
      <c r="AZ75" t="s">
        <v>759</v>
      </c>
      <c r="BB75" t="s">
        <v>760</v>
      </c>
      <c r="BE75" t="s">
        <v>100</v>
      </c>
      <c r="BF75" t="s">
        <v>762</v>
      </c>
      <c r="BG75" t="s">
        <v>763</v>
      </c>
      <c r="BH75" t="s">
        <v>88</v>
      </c>
      <c r="BI75" t="s">
        <v>761</v>
      </c>
      <c r="BJ75" s="1">
        <v>5</v>
      </c>
      <c r="BK75" s="1">
        <v>0</v>
      </c>
      <c r="BL75" s="1">
        <v>0</v>
      </c>
      <c r="BM75" s="1">
        <v>0</v>
      </c>
      <c r="BN75" s="1">
        <v>5</v>
      </c>
      <c r="BO75"/>
    </row>
    <row r="76" spans="1:67" x14ac:dyDescent="0.55000000000000004">
      <c r="A76" t="s">
        <v>715</v>
      </c>
      <c r="B76" t="s">
        <v>122</v>
      </c>
      <c r="C76" t="s">
        <v>123</v>
      </c>
      <c r="D76" t="s">
        <v>256</v>
      </c>
      <c r="E76" t="s">
        <v>102</v>
      </c>
      <c r="F76" s="4">
        <v>115</v>
      </c>
      <c r="G76" t="s">
        <v>764</v>
      </c>
      <c r="H7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3.33</v>
      </c>
      <c r="I76" s="1">
        <f>(Tabella15[[#This Row],[ALL5]]+Tabella15[[#This Row],[ALL6]]+Tabella15[[#This Row],[ALL22]]+Tabella15[[#This Row],[ALL32]]+Tabella15[[#This Row],[ALL7]]+Tabella15[[#This Row],[ALL8]])</f>
        <v>1</v>
      </c>
      <c r="J76"/>
      <c r="M76" s="21">
        <f>Tabella15[[#This Row],[IOT SPECFIC]]+Tabella15[[#This Row],[MBSE]]+Tabella15[[#This Row],[NEW MODEL]]</f>
        <v>0</v>
      </c>
      <c r="N76" s="21">
        <f>IF(Tabella15[[#This Row],[ALL]]&gt;0,1,0)</f>
        <v>0</v>
      </c>
      <c r="O76" s="1">
        <v>3</v>
      </c>
      <c r="P76" s="21">
        <f>IF(Tabella15[[#This Row],[DEPLOYMENT]]&gt;0,1,0)</f>
        <v>1</v>
      </c>
      <c r="Q76"/>
      <c r="T76" s="21">
        <f>Tabella15[[#This Row],[issues]]+Tabella15[[#This Row],[High Level]]+Tabella15[[#This Row],[ORCHESTRATION]]</f>
        <v>0</v>
      </c>
      <c r="U76" s="21">
        <f>IF(Tabella15[[#This Row],[ALL2]]&gt;0,1,0)</f>
        <v>0</v>
      </c>
      <c r="V76"/>
      <c r="Y76" s="21">
        <f>Tabella15[[#This Row],[Logginh]]+Tabella15[[#This Row],[Monitoring]]+Tabella15[[#This Row],[Performance]]</f>
        <v>0</v>
      </c>
      <c r="Z76" s="21">
        <f>IF(Tabella15[[#This Row],[ALL3]]&gt;0,1,0)</f>
        <v>0</v>
      </c>
      <c r="AA76" s="1"/>
      <c r="AB76" s="21">
        <f>IF(Tabella15[[#This Row],[TESTING]]&gt;0,1,0)</f>
        <v>0</v>
      </c>
      <c r="AC76"/>
      <c r="AH76" s="21">
        <f>Tabella15[[#This Row],[PRIVACY]]+Tabella15[[#This Row],[MATURITY MODEL]]+Tabella15[[#This Row],[ADDITIONAL]]+Tabella15[[#This Row],[DEVSECOPS]]+Tabella15[[#This Row],[SECURITY]]</f>
        <v>0</v>
      </c>
      <c r="AI76" s="21">
        <f>IF(Tabella15[[#This Row],[ALL4]]&gt;0,1,0)</f>
        <v>0</v>
      </c>
      <c r="AJ76" s="1"/>
      <c r="AK76" s="1">
        <v>5</v>
      </c>
      <c r="AL76" s="1">
        <f>(Tabella15[[#This Row],[ALL5]]+Tabella15[[#This Row],[ALL6]]+Tabella15[[#This Row],[ALL22]]+Tabella15[[#This Row],[ALL32]]+Tabella15[[#This Row],[ALL7]]+Tabella15[[#This Row],[ALL8]])*Tabella15[[#This Row],[Citazioni distinte]]</f>
        <v>5</v>
      </c>
      <c r="AM76" s="1">
        <f>(Tabella15[[#This Row],[ALL5]]+Tabella15[[#This Row],[ALL6]]+Tabella15[[#This Row],[ALL22]]+Tabella15[[#This Row],[ALL32]]+Tabella15[[#This Row],[ALL7]]+Tabella15[[#This Row],[ALL8]])*Tabella15[[#This Row],[PUNTO]]</f>
        <v>3.33</v>
      </c>
      <c r="AN76" s="6" t="s">
        <v>71</v>
      </c>
      <c r="AO76" s="1">
        <v>24</v>
      </c>
      <c r="AP76" s="1" t="s">
        <v>102</v>
      </c>
      <c r="AQ76" s="1" t="s">
        <v>102</v>
      </c>
      <c r="AR76" s="1" t="s">
        <v>102</v>
      </c>
      <c r="AS76" s="1" t="s">
        <v>75</v>
      </c>
      <c r="AT76" s="1" t="s">
        <v>77</v>
      </c>
      <c r="AU76" s="1" t="s">
        <v>77</v>
      </c>
      <c r="AV76" t="s">
        <v>765</v>
      </c>
      <c r="AW76">
        <v>2023</v>
      </c>
      <c r="AX76" t="s">
        <v>766</v>
      </c>
      <c r="AY76" t="s">
        <v>767</v>
      </c>
      <c r="AZ76" t="s">
        <v>768</v>
      </c>
      <c r="BB76" t="s">
        <v>769</v>
      </c>
      <c r="BE76" t="s">
        <v>256</v>
      </c>
      <c r="BF76" t="s">
        <v>771</v>
      </c>
      <c r="BG76" t="s">
        <v>772</v>
      </c>
      <c r="BH76" t="s">
        <v>773</v>
      </c>
      <c r="BI76" t="s">
        <v>770</v>
      </c>
      <c r="BJ76" s="1">
        <v>0</v>
      </c>
      <c r="BK76" s="1">
        <v>0</v>
      </c>
      <c r="BL76" s="1">
        <v>5</v>
      </c>
      <c r="BM76" s="1">
        <v>0</v>
      </c>
      <c r="BN76" s="1">
        <v>5</v>
      </c>
      <c r="BO76"/>
    </row>
    <row r="77" spans="1:67" x14ac:dyDescent="0.55000000000000004">
      <c r="A77" t="s">
        <v>774</v>
      </c>
      <c r="B77" t="s">
        <v>206</v>
      </c>
      <c r="C77" t="s">
        <v>69</v>
      </c>
      <c r="D77" t="s">
        <v>85</v>
      </c>
      <c r="E77" t="s">
        <v>71</v>
      </c>
      <c r="F77" s="4">
        <v>116</v>
      </c>
      <c r="G77" t="s">
        <v>775</v>
      </c>
      <c r="H7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77" s="1">
        <f>(Tabella15[[#This Row],[ALL5]]+Tabella15[[#This Row],[ALL6]]+Tabella15[[#This Row],[ALL22]]+Tabella15[[#This Row],[ALL32]]+Tabella15[[#This Row],[ALL7]]+Tabella15[[#This Row],[ALL8]])</f>
        <v>2</v>
      </c>
      <c r="J77"/>
      <c r="M77" s="21">
        <f>Tabella15[[#This Row],[IOT SPECFIC]]+Tabella15[[#This Row],[MBSE]]+Tabella15[[#This Row],[NEW MODEL]]</f>
        <v>0</v>
      </c>
      <c r="N77" s="21">
        <f>IF(Tabella15[[#This Row],[ALL]]&gt;0,1,0)</f>
        <v>0</v>
      </c>
      <c r="O77" s="1">
        <v>2</v>
      </c>
      <c r="P77" s="21">
        <f>IF(Tabella15[[#This Row],[DEPLOYMENT]]&gt;0,1,0)</f>
        <v>1</v>
      </c>
      <c r="Q77"/>
      <c r="T77" s="21">
        <f>Tabella15[[#This Row],[issues]]+Tabella15[[#This Row],[High Level]]+Tabella15[[#This Row],[ORCHESTRATION]]</f>
        <v>0</v>
      </c>
      <c r="U77" s="21">
        <f>IF(Tabella15[[#This Row],[ALL2]]&gt;0,1,0)</f>
        <v>0</v>
      </c>
      <c r="V77"/>
      <c r="W77">
        <v>2</v>
      </c>
      <c r="Y77" s="21">
        <f>Tabella15[[#This Row],[Logginh]]+Tabella15[[#This Row],[Monitoring]]+Tabella15[[#This Row],[Performance]]</f>
        <v>2</v>
      </c>
      <c r="Z77" s="21">
        <f>IF(Tabella15[[#This Row],[ALL3]]&gt;0,1,0)</f>
        <v>1</v>
      </c>
      <c r="AA77" s="1"/>
      <c r="AB77" s="21">
        <f>IF(Tabella15[[#This Row],[TESTING]]&gt;0,1,0)</f>
        <v>0</v>
      </c>
      <c r="AC77"/>
      <c r="AH77" s="21">
        <f>Tabella15[[#This Row],[PRIVACY]]+Tabella15[[#This Row],[MATURITY MODEL]]+Tabella15[[#This Row],[ADDITIONAL]]+Tabella15[[#This Row],[DEVSECOPS]]+Tabella15[[#This Row],[SECURITY]]</f>
        <v>0</v>
      </c>
      <c r="AI77" s="21">
        <f>IF(Tabella15[[#This Row],[ALL4]]&gt;0,1,0)</f>
        <v>0</v>
      </c>
      <c r="AJ77" s="1">
        <v>-1</v>
      </c>
      <c r="AK77" s="1">
        <v>4</v>
      </c>
      <c r="AL77" s="1">
        <f>(Tabella15[[#This Row],[ALL5]]+Tabella15[[#This Row],[ALL6]]+Tabella15[[#This Row],[ALL22]]+Tabella15[[#This Row],[ALL32]]+Tabella15[[#This Row],[ALL7]]+Tabella15[[#This Row],[ALL8]])*Tabella15[[#This Row],[Citazioni distinte]]</f>
        <v>8</v>
      </c>
      <c r="AM77" s="1">
        <f>(Tabella15[[#This Row],[ALL5]]+Tabella15[[#This Row],[ALL6]]+Tabella15[[#This Row],[ALL22]]+Tabella15[[#This Row],[ALL32]]+Tabella15[[#This Row],[ALL7]]+Tabella15[[#This Row],[ALL8]])*Tabella15[[#This Row],[PUNTO]]</f>
        <v>2.64</v>
      </c>
      <c r="AN77" s="6" t="s">
        <v>102</v>
      </c>
      <c r="AO77" s="1">
        <v>3</v>
      </c>
      <c r="AP77" s="1" t="s">
        <v>75</v>
      </c>
      <c r="AQ77" s="1" t="s">
        <v>75</v>
      </c>
      <c r="AR77" s="1" t="s">
        <v>75</v>
      </c>
      <c r="AS77" s="1" t="s">
        <v>75</v>
      </c>
      <c r="AT77" s="1" t="s">
        <v>76</v>
      </c>
      <c r="AU77" s="1" t="s">
        <v>77</v>
      </c>
      <c r="AV77" t="s">
        <v>776</v>
      </c>
      <c r="AW77">
        <v>2016</v>
      </c>
      <c r="AX77" t="s">
        <v>777</v>
      </c>
      <c r="AY77" s="2" t="s">
        <v>778</v>
      </c>
      <c r="AZ77" t="s">
        <v>779</v>
      </c>
      <c r="BA77" t="s">
        <v>780</v>
      </c>
      <c r="BC77" t="s">
        <v>781</v>
      </c>
      <c r="BD77" t="s">
        <v>60</v>
      </c>
      <c r="BE77" t="s">
        <v>85</v>
      </c>
      <c r="BF77" t="s">
        <v>783</v>
      </c>
      <c r="BG77" t="s">
        <v>784</v>
      </c>
      <c r="BH77" t="s">
        <v>88</v>
      </c>
      <c r="BI77" t="s">
        <v>782</v>
      </c>
      <c r="BJ77" s="1">
        <v>4</v>
      </c>
      <c r="BK77" s="1">
        <v>3</v>
      </c>
      <c r="BL77" s="1">
        <v>4</v>
      </c>
      <c r="BM77" s="1">
        <v>0</v>
      </c>
      <c r="BN77" s="1">
        <v>4</v>
      </c>
      <c r="BO77"/>
    </row>
    <row r="78" spans="1:67" x14ac:dyDescent="0.55000000000000004">
      <c r="A78" t="s">
        <v>715</v>
      </c>
      <c r="B78" t="s">
        <v>68</v>
      </c>
      <c r="C78" t="s">
        <v>69</v>
      </c>
      <c r="D78" t="s">
        <v>85</v>
      </c>
      <c r="E78" t="s">
        <v>71</v>
      </c>
      <c r="F78" s="4">
        <v>117</v>
      </c>
      <c r="G78" t="s">
        <v>785</v>
      </c>
      <c r="H7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78" s="1">
        <f>(Tabella15[[#This Row],[ALL5]]+Tabella15[[#This Row],[ALL6]]+Tabella15[[#This Row],[ALL22]]+Tabella15[[#This Row],[ALL32]]+Tabella15[[#This Row],[ALL7]]+Tabella15[[#This Row],[ALL8]])</f>
        <v>2</v>
      </c>
      <c r="J78"/>
      <c r="M78" s="21">
        <f>Tabella15[[#This Row],[IOT SPECFIC]]+Tabella15[[#This Row],[MBSE]]+Tabella15[[#This Row],[NEW MODEL]]</f>
        <v>0</v>
      </c>
      <c r="N78" s="21">
        <f>IF(Tabella15[[#This Row],[ALL]]&gt;0,1,0)</f>
        <v>0</v>
      </c>
      <c r="O78" s="1">
        <v>3</v>
      </c>
      <c r="P78" s="21">
        <f>IF(Tabella15[[#This Row],[DEPLOYMENT]]&gt;0,1,0)</f>
        <v>1</v>
      </c>
      <c r="Q78"/>
      <c r="T78" s="21">
        <f>Tabella15[[#This Row],[issues]]+Tabella15[[#This Row],[High Level]]+Tabella15[[#This Row],[ORCHESTRATION]]</f>
        <v>0</v>
      </c>
      <c r="U78" s="21">
        <f>IF(Tabella15[[#This Row],[ALL2]]&gt;0,1,0)</f>
        <v>0</v>
      </c>
      <c r="V78"/>
      <c r="W78">
        <v>2</v>
      </c>
      <c r="Y78" s="21">
        <f>Tabella15[[#This Row],[Logginh]]+Tabella15[[#This Row],[Monitoring]]+Tabella15[[#This Row],[Performance]]</f>
        <v>2</v>
      </c>
      <c r="Z78" s="21">
        <f>IF(Tabella15[[#This Row],[ALL3]]&gt;0,1,0)</f>
        <v>1</v>
      </c>
      <c r="AA78" s="1"/>
      <c r="AB78" s="21">
        <f>IF(Tabella15[[#This Row],[TESTING]]&gt;0,1,0)</f>
        <v>0</v>
      </c>
      <c r="AC78"/>
      <c r="AH78" s="21">
        <f>Tabella15[[#This Row],[PRIVACY]]+Tabella15[[#This Row],[MATURITY MODEL]]+Tabella15[[#This Row],[ADDITIONAL]]+Tabella15[[#This Row],[DEVSECOPS]]+Tabella15[[#This Row],[SECURITY]]</f>
        <v>0</v>
      </c>
      <c r="AI78" s="21">
        <f>IF(Tabella15[[#This Row],[ALL4]]&gt;0,1,0)</f>
        <v>0</v>
      </c>
      <c r="AJ78" s="1"/>
      <c r="AK78" s="1">
        <v>5</v>
      </c>
      <c r="AL78" s="1">
        <f>(Tabella15[[#This Row],[ALL5]]+Tabella15[[#This Row],[ALL6]]+Tabella15[[#This Row],[ALL22]]+Tabella15[[#This Row],[ALL32]]+Tabella15[[#This Row],[ALL7]]+Tabella15[[#This Row],[ALL8]])*Tabella15[[#This Row],[Citazioni distinte]]</f>
        <v>10</v>
      </c>
      <c r="AM78" s="1">
        <f>(Tabella15[[#This Row],[ALL5]]+Tabella15[[#This Row],[ALL6]]+Tabella15[[#This Row],[ALL22]]+Tabella15[[#This Row],[ALL32]]+Tabella15[[#This Row],[ALL7]]+Tabella15[[#This Row],[ALL8]])*Tabella15[[#This Row],[PUNTO]]</f>
        <v>4.62</v>
      </c>
      <c r="AN78" s="6" t="s">
        <v>73</v>
      </c>
      <c r="AO78" s="1">
        <v>12</v>
      </c>
      <c r="AP78" s="1" t="s">
        <v>74</v>
      </c>
      <c r="AQ78" s="1" t="s">
        <v>74</v>
      </c>
      <c r="AR78" s="1" t="s">
        <v>74</v>
      </c>
      <c r="AS78" s="1" t="s">
        <v>75</v>
      </c>
      <c r="AT78" s="1" t="s">
        <v>76</v>
      </c>
      <c r="AU78" s="1" t="s">
        <v>77</v>
      </c>
      <c r="AV78" t="s">
        <v>786</v>
      </c>
      <c r="AW78">
        <v>2022</v>
      </c>
      <c r="AX78" t="s">
        <v>787</v>
      </c>
      <c r="AY78" t="s">
        <v>788</v>
      </c>
      <c r="AZ78" t="s">
        <v>789</v>
      </c>
      <c r="BB78" t="s">
        <v>721</v>
      </c>
      <c r="BE78" t="s">
        <v>85</v>
      </c>
      <c r="BF78" t="s">
        <v>791</v>
      </c>
      <c r="BG78" t="s">
        <v>792</v>
      </c>
      <c r="BH78" t="s">
        <v>793</v>
      </c>
      <c r="BI78" t="s">
        <v>790</v>
      </c>
      <c r="BJ78" s="1">
        <v>5</v>
      </c>
      <c r="BK78" s="1">
        <v>0</v>
      </c>
      <c r="BL78" s="1">
        <v>0</v>
      </c>
      <c r="BM78" s="1">
        <v>0</v>
      </c>
      <c r="BN78" s="1">
        <v>5</v>
      </c>
      <c r="BO78"/>
    </row>
    <row r="79" spans="1:67" x14ac:dyDescent="0.55000000000000004">
      <c r="A79" t="s">
        <v>745</v>
      </c>
      <c r="B79" t="s">
        <v>206</v>
      </c>
      <c r="C79" t="s">
        <v>69</v>
      </c>
      <c r="D79" t="s">
        <v>85</v>
      </c>
      <c r="E79" t="s">
        <v>73</v>
      </c>
      <c r="F79" s="4">
        <v>119</v>
      </c>
      <c r="G79" t="s">
        <v>794</v>
      </c>
      <c r="H7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79" s="1">
        <f>(Tabella15[[#This Row],[ALL5]]+Tabella15[[#This Row],[ALL6]]+Tabella15[[#This Row],[ALL22]]+Tabella15[[#This Row],[ALL32]]+Tabella15[[#This Row],[ALL7]]+Tabella15[[#This Row],[ALL8]])</f>
        <v>1</v>
      </c>
      <c r="J79"/>
      <c r="M79" s="21">
        <f>Tabella15[[#This Row],[IOT SPECFIC]]+Tabella15[[#This Row],[MBSE]]+Tabella15[[#This Row],[NEW MODEL]]</f>
        <v>0</v>
      </c>
      <c r="N79" s="21">
        <f>IF(Tabella15[[#This Row],[ALL]]&gt;0,1,0)</f>
        <v>0</v>
      </c>
      <c r="O79" s="1"/>
      <c r="P79" s="21">
        <f>IF(Tabella15[[#This Row],[DEPLOYMENT]]&gt;0,1,0)</f>
        <v>0</v>
      </c>
      <c r="Q79">
        <v>1</v>
      </c>
      <c r="T79" s="21">
        <f>Tabella15[[#This Row],[issues]]+Tabella15[[#This Row],[High Level]]+Tabella15[[#This Row],[ORCHESTRATION]]</f>
        <v>1</v>
      </c>
      <c r="U79" s="21">
        <f>IF(Tabella15[[#This Row],[ALL2]]&gt;0,1,0)</f>
        <v>1</v>
      </c>
      <c r="V79"/>
      <c r="Y79" s="21">
        <f>Tabella15[[#This Row],[Logginh]]+Tabella15[[#This Row],[Monitoring]]+Tabella15[[#This Row],[Performance]]</f>
        <v>0</v>
      </c>
      <c r="Z79" s="21">
        <f>IF(Tabella15[[#This Row],[ALL3]]&gt;0,1,0)</f>
        <v>0</v>
      </c>
      <c r="AA79" s="1"/>
      <c r="AB79" s="21">
        <f>IF(Tabella15[[#This Row],[TESTING]]&gt;0,1,0)</f>
        <v>0</v>
      </c>
      <c r="AC79"/>
      <c r="AH79" s="21">
        <f>Tabella15[[#This Row],[PRIVACY]]+Tabella15[[#This Row],[MATURITY MODEL]]+Tabella15[[#This Row],[ADDITIONAL]]+Tabella15[[#This Row],[DEVSECOPS]]+Tabella15[[#This Row],[SECURITY]]</f>
        <v>0</v>
      </c>
      <c r="AI79" s="21">
        <f>IF(Tabella15[[#This Row],[ALL4]]&gt;0,1,0)</f>
        <v>0</v>
      </c>
      <c r="AJ79" s="1"/>
      <c r="AK79" s="1">
        <v>1</v>
      </c>
      <c r="AL79" s="1">
        <f>(Tabella15[[#This Row],[ALL5]]+Tabella15[[#This Row],[ALL6]]+Tabella15[[#This Row],[ALL22]]+Tabella15[[#This Row],[ALL32]]+Tabella15[[#This Row],[ALL7]]+Tabella15[[#This Row],[ALL8]])*Tabella15[[#This Row],[Citazioni distinte]]</f>
        <v>1</v>
      </c>
      <c r="AM79" s="1">
        <f>(Tabella15[[#This Row],[ALL5]]+Tabella15[[#This Row],[ALL6]]+Tabella15[[#This Row],[ALL22]]+Tabella15[[#This Row],[ALL32]]+Tabella15[[#This Row],[ALL7]]+Tabella15[[#This Row],[ALL8]])*Tabella15[[#This Row],[PUNTO]]</f>
        <v>0.99</v>
      </c>
      <c r="AN79" s="6" t="s">
        <v>73</v>
      </c>
      <c r="AO79" s="1">
        <v>7</v>
      </c>
      <c r="AP79" s="1" t="s">
        <v>75</v>
      </c>
      <c r="AQ79" s="1" t="s">
        <v>75</v>
      </c>
      <c r="AR79" s="1" t="s">
        <v>75</v>
      </c>
      <c r="AS79" s="1" t="s">
        <v>327</v>
      </c>
      <c r="AT79" s="1" t="s">
        <v>76</v>
      </c>
      <c r="AU79" s="1" t="s">
        <v>76</v>
      </c>
      <c r="AV79" t="s">
        <v>795</v>
      </c>
      <c r="AW79">
        <v>2024</v>
      </c>
      <c r="AX79" t="s">
        <v>796</v>
      </c>
      <c r="AY79" s="2" t="s">
        <v>797</v>
      </c>
      <c r="AZ79" t="s">
        <v>798</v>
      </c>
      <c r="BA79" t="s">
        <v>799</v>
      </c>
      <c r="BC79" t="s">
        <v>800</v>
      </c>
      <c r="BD79" t="s">
        <v>60</v>
      </c>
      <c r="BE79" t="s">
        <v>85</v>
      </c>
      <c r="BF79" t="s">
        <v>802</v>
      </c>
      <c r="BG79" t="s">
        <v>803</v>
      </c>
      <c r="BH79" t="s">
        <v>804</v>
      </c>
      <c r="BI79" t="s">
        <v>801</v>
      </c>
      <c r="BJ79" s="1">
        <v>1</v>
      </c>
      <c r="BK79" s="1">
        <v>1</v>
      </c>
      <c r="BL79" s="1">
        <v>0</v>
      </c>
      <c r="BM79" s="1">
        <v>0</v>
      </c>
      <c r="BN79" s="1">
        <v>1</v>
      </c>
      <c r="BO79"/>
    </row>
    <row r="80" spans="1:67" x14ac:dyDescent="0.55000000000000004">
      <c r="A80" t="s">
        <v>805</v>
      </c>
      <c r="B80" t="s">
        <v>206</v>
      </c>
      <c r="C80" t="s">
        <v>69</v>
      </c>
      <c r="D80" t="s">
        <v>85</v>
      </c>
      <c r="E80" t="s">
        <v>73</v>
      </c>
      <c r="F80" s="4">
        <v>120</v>
      </c>
      <c r="G80" t="s">
        <v>806</v>
      </c>
      <c r="H8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80" s="1">
        <f>(Tabella15[[#This Row],[ALL5]]+Tabella15[[#This Row],[ALL6]]+Tabella15[[#This Row],[ALL22]]+Tabella15[[#This Row],[ALL32]]+Tabella15[[#This Row],[ALL7]]+Tabella15[[#This Row],[ALL8]])</f>
        <v>1</v>
      </c>
      <c r="J80"/>
      <c r="M80" s="21">
        <f>Tabella15[[#This Row],[IOT SPECFIC]]+Tabella15[[#This Row],[MBSE]]+Tabella15[[#This Row],[NEW MODEL]]</f>
        <v>0</v>
      </c>
      <c r="N80" s="21">
        <f>IF(Tabella15[[#This Row],[ALL]]&gt;0,1,0)</f>
        <v>0</v>
      </c>
      <c r="O80" s="1">
        <v>2</v>
      </c>
      <c r="P80" s="21">
        <f>IF(Tabella15[[#This Row],[DEPLOYMENT]]&gt;0,1,0)</f>
        <v>1</v>
      </c>
      <c r="Q80"/>
      <c r="T80" s="21">
        <f>Tabella15[[#This Row],[issues]]+Tabella15[[#This Row],[High Level]]+Tabella15[[#This Row],[ORCHESTRATION]]</f>
        <v>0</v>
      </c>
      <c r="U80" s="21">
        <f>IF(Tabella15[[#This Row],[ALL2]]&gt;0,1,0)</f>
        <v>0</v>
      </c>
      <c r="V80"/>
      <c r="Y80" s="21">
        <f>Tabella15[[#This Row],[Logginh]]+Tabella15[[#This Row],[Monitoring]]+Tabella15[[#This Row],[Performance]]</f>
        <v>0</v>
      </c>
      <c r="Z80" s="21">
        <f>IF(Tabella15[[#This Row],[ALL3]]&gt;0,1,0)</f>
        <v>0</v>
      </c>
      <c r="AA80" s="1"/>
      <c r="AB80" s="21">
        <f>IF(Tabella15[[#This Row],[TESTING]]&gt;0,1,0)</f>
        <v>0</v>
      </c>
      <c r="AC80"/>
      <c r="AH80" s="21">
        <f>Tabella15[[#This Row],[PRIVACY]]+Tabella15[[#This Row],[MATURITY MODEL]]+Tabella15[[#This Row],[ADDITIONAL]]+Tabella15[[#This Row],[DEVSECOPS]]+Tabella15[[#This Row],[SECURITY]]</f>
        <v>0</v>
      </c>
      <c r="AI80" s="21">
        <f>IF(Tabella15[[#This Row],[ALL4]]&gt;0,1,0)</f>
        <v>0</v>
      </c>
      <c r="AJ80" s="1"/>
      <c r="AK80" s="1">
        <v>0</v>
      </c>
      <c r="AL80" s="1">
        <f>(Tabella15[[#This Row],[ALL5]]+Tabella15[[#This Row],[ALL6]]+Tabella15[[#This Row],[ALL22]]+Tabella15[[#This Row],[ALL32]]+Tabella15[[#This Row],[ALL7]]+Tabella15[[#This Row],[ALL8]])*Tabella15[[#This Row],[Citazioni distinte]]</f>
        <v>0</v>
      </c>
      <c r="AM80" s="1">
        <f>(Tabella15[[#This Row],[ALL5]]+Tabella15[[#This Row],[ALL6]]+Tabella15[[#This Row],[ALL22]]+Tabella15[[#This Row],[ALL32]]+Tabella15[[#This Row],[ALL7]]+Tabella15[[#This Row],[ALL8]])*Tabella15[[#This Row],[PUNTO]]</f>
        <v>1.32</v>
      </c>
      <c r="AN80" s="6" t="s">
        <v>102</v>
      </c>
      <c r="AO80" s="1">
        <v>4</v>
      </c>
      <c r="AP80" s="1" t="s">
        <v>75</v>
      </c>
      <c r="AQ80" s="1" t="s">
        <v>75</v>
      </c>
      <c r="AR80" s="1" t="s">
        <v>75</v>
      </c>
      <c r="AS80" s="1" t="s">
        <v>75</v>
      </c>
      <c r="AT80" s="1" t="s">
        <v>76</v>
      </c>
      <c r="AU80" s="1" t="s">
        <v>77</v>
      </c>
      <c r="AV80" t="s">
        <v>807</v>
      </c>
      <c r="AW80">
        <v>2026</v>
      </c>
      <c r="AX80" t="s">
        <v>808</v>
      </c>
      <c r="AY80" s="2" t="s">
        <v>809</v>
      </c>
      <c r="AZ80" t="s">
        <v>810</v>
      </c>
      <c r="BA80" t="s">
        <v>811</v>
      </c>
      <c r="BC80" t="s">
        <v>812</v>
      </c>
      <c r="BD80" t="s">
        <v>60</v>
      </c>
      <c r="BE80" t="s">
        <v>85</v>
      </c>
      <c r="BF80" t="s">
        <v>814</v>
      </c>
      <c r="BG80" t="s">
        <v>815</v>
      </c>
      <c r="BH80" t="s">
        <v>816</v>
      </c>
      <c r="BI80" t="s">
        <v>813</v>
      </c>
      <c r="BJ80" s="1">
        <v>0</v>
      </c>
      <c r="BK80" s="1">
        <v>0</v>
      </c>
      <c r="BL80" s="1">
        <v>0</v>
      </c>
      <c r="BM80" s="1">
        <v>0</v>
      </c>
      <c r="BN80" s="1">
        <v>0</v>
      </c>
      <c r="BO80"/>
    </row>
    <row r="81" spans="1:67" x14ac:dyDescent="0.55000000000000004">
      <c r="A81" t="s">
        <v>745</v>
      </c>
      <c r="B81" t="s">
        <v>206</v>
      </c>
      <c r="C81" t="s">
        <v>69</v>
      </c>
      <c r="D81" t="s">
        <v>85</v>
      </c>
      <c r="E81" t="s">
        <v>71</v>
      </c>
      <c r="F81" s="4">
        <v>122</v>
      </c>
      <c r="G81" t="s">
        <v>817</v>
      </c>
      <c r="H8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2.64</v>
      </c>
      <c r="I81" s="1">
        <f>(Tabella15[[#This Row],[ALL5]]+Tabella15[[#This Row],[ALL6]]+Tabella15[[#This Row],[ALL22]]+Tabella15[[#This Row],[ALL32]]+Tabella15[[#This Row],[ALL7]]+Tabella15[[#This Row],[ALL8]])</f>
        <v>2</v>
      </c>
      <c r="J81"/>
      <c r="M81" s="21">
        <f>Tabella15[[#This Row],[IOT SPECFIC]]+Tabella15[[#This Row],[MBSE]]+Tabella15[[#This Row],[NEW MODEL]]</f>
        <v>0</v>
      </c>
      <c r="N81" s="21">
        <f>IF(Tabella15[[#This Row],[ALL]]&gt;0,1,0)</f>
        <v>0</v>
      </c>
      <c r="O81" s="1">
        <v>2</v>
      </c>
      <c r="P81" s="21">
        <f>IF(Tabella15[[#This Row],[DEPLOYMENT]]&gt;0,1,0)</f>
        <v>1</v>
      </c>
      <c r="Q81"/>
      <c r="T81" s="21">
        <f>Tabella15[[#This Row],[issues]]+Tabella15[[#This Row],[High Level]]+Tabella15[[#This Row],[ORCHESTRATION]]</f>
        <v>0</v>
      </c>
      <c r="U81" s="21">
        <f>IF(Tabella15[[#This Row],[ALL2]]&gt;0,1,0)</f>
        <v>0</v>
      </c>
      <c r="V81"/>
      <c r="X81">
        <v>1</v>
      </c>
      <c r="Y81" s="21">
        <f>Tabella15[[#This Row],[Logginh]]+Tabella15[[#This Row],[Monitoring]]+Tabella15[[#This Row],[Performance]]</f>
        <v>1</v>
      </c>
      <c r="Z81" s="21">
        <f>IF(Tabella15[[#This Row],[ALL3]]&gt;0,1,0)</f>
        <v>1</v>
      </c>
      <c r="AA81" s="1"/>
      <c r="AB81" s="21">
        <f>IF(Tabella15[[#This Row],[TESTING]]&gt;0,1,0)</f>
        <v>0</v>
      </c>
      <c r="AC81"/>
      <c r="AH81" s="21">
        <f>Tabella15[[#This Row],[PRIVACY]]+Tabella15[[#This Row],[MATURITY MODEL]]+Tabella15[[#This Row],[ADDITIONAL]]+Tabella15[[#This Row],[DEVSECOPS]]+Tabella15[[#This Row],[SECURITY]]</f>
        <v>0</v>
      </c>
      <c r="AI81" s="21">
        <f>IF(Tabella15[[#This Row],[ALL4]]&gt;0,1,0)</f>
        <v>0</v>
      </c>
      <c r="AJ81" s="1"/>
      <c r="AK81" s="1">
        <v>5</v>
      </c>
      <c r="AL81" s="1">
        <f>(Tabella15[[#This Row],[ALL5]]+Tabella15[[#This Row],[ALL6]]+Tabella15[[#This Row],[ALL22]]+Tabella15[[#This Row],[ALL32]]+Tabella15[[#This Row],[ALL7]]+Tabella15[[#This Row],[ALL8]])*Tabella15[[#This Row],[Citazioni distinte]]</f>
        <v>10</v>
      </c>
      <c r="AM81" s="1">
        <f>(Tabella15[[#This Row],[ALL5]]+Tabella15[[#This Row],[ALL6]]+Tabella15[[#This Row],[ALL22]]+Tabella15[[#This Row],[ALL32]]+Tabella15[[#This Row],[ALL7]]+Tabella15[[#This Row],[ALL8]])*Tabella15[[#This Row],[PUNTO]]</f>
        <v>5.28</v>
      </c>
      <c r="AN81" s="6" t="s">
        <v>73</v>
      </c>
      <c r="AO81" s="1">
        <v>6</v>
      </c>
      <c r="AP81" s="1" t="s">
        <v>74</v>
      </c>
      <c r="AQ81" s="1" t="s">
        <v>74</v>
      </c>
      <c r="AR81" s="1" t="s">
        <v>74</v>
      </c>
      <c r="AS81" s="1" t="s">
        <v>74</v>
      </c>
      <c r="AT81" s="1" t="s">
        <v>76</v>
      </c>
      <c r="AU81" s="1" t="s">
        <v>77</v>
      </c>
      <c r="AV81" t="s">
        <v>818</v>
      </c>
      <c r="AW81">
        <v>2022</v>
      </c>
      <c r="AX81" t="s">
        <v>819</v>
      </c>
      <c r="AY81" s="2" t="s">
        <v>820</v>
      </c>
      <c r="AZ81" t="s">
        <v>821</v>
      </c>
      <c r="BA81" t="s">
        <v>822</v>
      </c>
      <c r="BC81" t="s">
        <v>823</v>
      </c>
      <c r="BD81" t="s">
        <v>60</v>
      </c>
      <c r="BE81" t="s">
        <v>85</v>
      </c>
      <c r="BF81" t="s">
        <v>825</v>
      </c>
      <c r="BG81" t="s">
        <v>826</v>
      </c>
      <c r="BH81" t="s">
        <v>827</v>
      </c>
      <c r="BI81" t="s">
        <v>824</v>
      </c>
      <c r="BJ81" s="1">
        <v>5</v>
      </c>
      <c r="BK81" s="1">
        <v>3</v>
      </c>
      <c r="BL81" s="1">
        <v>0</v>
      </c>
      <c r="BM81" s="1">
        <v>0</v>
      </c>
      <c r="BN81" s="1">
        <v>5</v>
      </c>
      <c r="BO81"/>
    </row>
    <row r="82" spans="1:67" x14ac:dyDescent="0.55000000000000004">
      <c r="A82" t="s">
        <v>745</v>
      </c>
      <c r="B82" t="s">
        <v>206</v>
      </c>
      <c r="C82" t="s">
        <v>69</v>
      </c>
      <c r="D82" t="s">
        <v>202</v>
      </c>
      <c r="E82" t="s">
        <v>71</v>
      </c>
      <c r="F82" s="4">
        <v>123</v>
      </c>
      <c r="G82" t="s">
        <v>828</v>
      </c>
      <c r="H8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82" s="1">
        <f>(Tabella15[[#This Row],[ALL5]]+Tabella15[[#This Row],[ALL6]]+Tabella15[[#This Row],[ALL22]]+Tabella15[[#This Row],[ALL32]]+Tabella15[[#This Row],[ALL7]]+Tabella15[[#This Row],[ALL8]])</f>
        <v>1</v>
      </c>
      <c r="J82"/>
      <c r="M82" s="21">
        <f>Tabella15[[#This Row],[IOT SPECFIC]]+Tabella15[[#This Row],[MBSE]]+Tabella15[[#This Row],[NEW MODEL]]</f>
        <v>0</v>
      </c>
      <c r="N82" s="21">
        <f>IF(Tabella15[[#This Row],[ALL]]&gt;0,1,0)</f>
        <v>0</v>
      </c>
      <c r="O82" s="1"/>
      <c r="P82" s="21">
        <f>IF(Tabella15[[#This Row],[DEPLOYMENT]]&gt;0,1,0)</f>
        <v>0</v>
      </c>
      <c r="Q82"/>
      <c r="T82" s="21">
        <f>Tabella15[[#This Row],[issues]]+Tabella15[[#This Row],[High Level]]+Tabella15[[#This Row],[ORCHESTRATION]]</f>
        <v>0</v>
      </c>
      <c r="U82" s="21">
        <f>IF(Tabella15[[#This Row],[ALL2]]&gt;0,1,0)</f>
        <v>0</v>
      </c>
      <c r="V82"/>
      <c r="Y82" s="21">
        <f>Tabella15[[#This Row],[Logginh]]+Tabella15[[#This Row],[Monitoring]]+Tabella15[[#This Row],[Performance]]</f>
        <v>0</v>
      </c>
      <c r="Z82" s="21">
        <f>IF(Tabella15[[#This Row],[ALL3]]&gt;0,1,0)</f>
        <v>0</v>
      </c>
      <c r="AA82" s="1">
        <v>1</v>
      </c>
      <c r="AB82" s="21">
        <f>IF(Tabella15[[#This Row],[TESTING]]&gt;0,1,0)</f>
        <v>1</v>
      </c>
      <c r="AC82"/>
      <c r="AH82" s="21">
        <f>Tabella15[[#This Row],[PRIVACY]]+Tabella15[[#This Row],[MATURITY MODEL]]+Tabella15[[#This Row],[ADDITIONAL]]+Tabella15[[#This Row],[DEVSECOPS]]+Tabella15[[#This Row],[SECURITY]]</f>
        <v>0</v>
      </c>
      <c r="AI82" s="21">
        <f>IF(Tabella15[[#This Row],[ALL4]]&gt;0,1,0)</f>
        <v>0</v>
      </c>
      <c r="AJ82" s="1"/>
      <c r="AK82" s="1">
        <v>3</v>
      </c>
      <c r="AL82" s="1">
        <f>(Tabella15[[#This Row],[ALL5]]+Tabella15[[#This Row],[ALL6]]+Tabella15[[#This Row],[ALL22]]+Tabella15[[#This Row],[ALL32]]+Tabella15[[#This Row],[ALL7]]+Tabella15[[#This Row],[ALL8]])*Tabella15[[#This Row],[Citazioni distinte]]</f>
        <v>3</v>
      </c>
      <c r="AM82" s="1">
        <f>(Tabella15[[#This Row],[ALL5]]+Tabella15[[#This Row],[ALL6]]+Tabella15[[#This Row],[ALL22]]+Tabella15[[#This Row],[ALL32]]+Tabella15[[#This Row],[ALL7]]+Tabella15[[#This Row],[ALL8]])*Tabella15[[#This Row],[PUNTO]]</f>
        <v>0.99</v>
      </c>
      <c r="AN82" s="6" t="s">
        <v>73</v>
      </c>
      <c r="AO82" s="1">
        <v>6</v>
      </c>
      <c r="AP82" s="1" t="s">
        <v>75</v>
      </c>
      <c r="AQ82" s="1" t="s">
        <v>75</v>
      </c>
      <c r="AR82" s="1" t="s">
        <v>75</v>
      </c>
      <c r="AS82" s="1" t="s">
        <v>327</v>
      </c>
      <c r="AT82" s="1" t="s">
        <v>76</v>
      </c>
      <c r="AU82" s="1" t="s">
        <v>77</v>
      </c>
      <c r="AV82" t="s">
        <v>829</v>
      </c>
      <c r="AW82">
        <v>2022</v>
      </c>
      <c r="AX82" t="s">
        <v>830</v>
      </c>
      <c r="AY82" s="2" t="s">
        <v>831</v>
      </c>
      <c r="AZ82" t="s">
        <v>832</v>
      </c>
      <c r="BA82" t="s">
        <v>833</v>
      </c>
      <c r="BC82" t="s">
        <v>834</v>
      </c>
      <c r="BD82" t="s">
        <v>60</v>
      </c>
      <c r="BE82" t="s">
        <v>202</v>
      </c>
      <c r="BF82" t="s">
        <v>836</v>
      </c>
      <c r="BG82" t="s">
        <v>837</v>
      </c>
      <c r="BH82" t="s">
        <v>838</v>
      </c>
      <c r="BI82" t="s">
        <v>835</v>
      </c>
      <c r="BJ82" s="1">
        <v>3</v>
      </c>
      <c r="BK82" s="1">
        <v>3</v>
      </c>
      <c r="BL82" s="1">
        <v>1</v>
      </c>
      <c r="BM82" s="1">
        <v>0</v>
      </c>
      <c r="BN82" s="1">
        <v>3</v>
      </c>
      <c r="BO82"/>
    </row>
    <row r="83" spans="1:67" x14ac:dyDescent="0.55000000000000004">
      <c r="A83" t="s">
        <v>715</v>
      </c>
      <c r="B83" t="s">
        <v>68</v>
      </c>
      <c r="C83" t="s">
        <v>69</v>
      </c>
      <c r="D83" t="s">
        <v>202</v>
      </c>
      <c r="E83" t="s">
        <v>73</v>
      </c>
      <c r="F83" s="4">
        <v>126</v>
      </c>
      <c r="G83" t="s">
        <v>839</v>
      </c>
      <c r="H8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83" s="1">
        <f>(Tabella15[[#This Row],[ALL5]]+Tabella15[[#This Row],[ALL6]]+Tabella15[[#This Row],[ALL22]]+Tabella15[[#This Row],[ALL32]]+Tabella15[[#This Row],[ALL7]]+Tabella15[[#This Row],[ALL8]])</f>
        <v>2</v>
      </c>
      <c r="J83"/>
      <c r="M83" s="21">
        <f>Tabella15[[#This Row],[IOT SPECFIC]]+Tabella15[[#This Row],[MBSE]]+Tabella15[[#This Row],[NEW MODEL]]</f>
        <v>0</v>
      </c>
      <c r="N83" s="21">
        <f>IF(Tabella15[[#This Row],[ALL]]&gt;0,1,0)</f>
        <v>0</v>
      </c>
      <c r="O83" s="1">
        <v>2</v>
      </c>
      <c r="P83" s="21">
        <f>IF(Tabella15[[#This Row],[DEPLOYMENT]]&gt;0,1,0)</f>
        <v>1</v>
      </c>
      <c r="Q83"/>
      <c r="T83" s="21">
        <f>Tabella15[[#This Row],[issues]]+Tabella15[[#This Row],[High Level]]+Tabella15[[#This Row],[ORCHESTRATION]]</f>
        <v>0</v>
      </c>
      <c r="U83" s="21">
        <f>IF(Tabella15[[#This Row],[ALL2]]&gt;0,1,0)</f>
        <v>0</v>
      </c>
      <c r="V83"/>
      <c r="Y83" s="21">
        <f>Tabella15[[#This Row],[Logginh]]+Tabella15[[#This Row],[Monitoring]]+Tabella15[[#This Row],[Performance]]</f>
        <v>0</v>
      </c>
      <c r="Z83" s="21">
        <f>IF(Tabella15[[#This Row],[ALL3]]&gt;0,1,0)</f>
        <v>0</v>
      </c>
      <c r="AA83" s="1">
        <v>1</v>
      </c>
      <c r="AB83" s="21">
        <f>IF(Tabella15[[#This Row],[TESTING]]&gt;0,1,0)</f>
        <v>1</v>
      </c>
      <c r="AC83"/>
      <c r="AH83" s="21">
        <f>Tabella15[[#This Row],[PRIVACY]]+Tabella15[[#This Row],[MATURITY MODEL]]+Tabella15[[#This Row],[ADDITIONAL]]+Tabella15[[#This Row],[DEVSECOPS]]+Tabella15[[#This Row],[SECURITY]]</f>
        <v>0</v>
      </c>
      <c r="AI83" s="21">
        <f>IF(Tabella15[[#This Row],[ALL4]]&gt;0,1,0)</f>
        <v>0</v>
      </c>
      <c r="AJ83" s="1">
        <v>-1</v>
      </c>
      <c r="AK83" s="1">
        <v>8</v>
      </c>
      <c r="AL83" s="1">
        <f>(Tabella15[[#This Row],[ALL5]]+Tabella15[[#This Row],[ALL6]]+Tabella15[[#This Row],[ALL22]]+Tabella15[[#This Row],[ALL32]]+Tabella15[[#This Row],[ALL7]]+Tabella15[[#This Row],[ALL8]])*Tabella15[[#This Row],[Citazioni distinte]]</f>
        <v>16</v>
      </c>
      <c r="AM83" s="1">
        <f>(Tabella15[[#This Row],[ALL5]]+Tabella15[[#This Row],[ALL6]]+Tabella15[[#This Row],[ALL22]]+Tabella15[[#This Row],[ALL32]]+Tabella15[[#This Row],[ALL7]]+Tabella15[[#This Row],[ALL8]])*Tabella15[[#This Row],[PUNTO]]</f>
        <v>2.64</v>
      </c>
      <c r="AN83" s="6" t="s">
        <v>102</v>
      </c>
      <c r="AO83" s="1">
        <v>4</v>
      </c>
      <c r="AP83" s="1" t="s">
        <v>75</v>
      </c>
      <c r="AQ83" s="1" t="s">
        <v>75</v>
      </c>
      <c r="AR83" s="1" t="s">
        <v>75</v>
      </c>
      <c r="AS83" s="1" t="s">
        <v>75</v>
      </c>
      <c r="AT83" s="1" t="s">
        <v>76</v>
      </c>
      <c r="AU83" s="1" t="s">
        <v>77</v>
      </c>
      <c r="AV83" t="s">
        <v>840</v>
      </c>
      <c r="AW83">
        <v>2019</v>
      </c>
      <c r="AY83" t="s">
        <v>841</v>
      </c>
      <c r="AZ83" t="s">
        <v>842</v>
      </c>
      <c r="BB83" t="s">
        <v>148</v>
      </c>
      <c r="BE83" t="s">
        <v>202</v>
      </c>
      <c r="BF83" t="s">
        <v>844</v>
      </c>
      <c r="BG83" t="s">
        <v>845</v>
      </c>
      <c r="BH83" t="s">
        <v>846</v>
      </c>
      <c r="BI83" t="s">
        <v>843</v>
      </c>
      <c r="BJ83" s="1">
        <v>8</v>
      </c>
      <c r="BK83" s="1">
        <v>0</v>
      </c>
      <c r="BL83" s="1">
        <v>0</v>
      </c>
      <c r="BM83" s="1">
        <v>0</v>
      </c>
      <c r="BN83" s="1">
        <v>8</v>
      </c>
      <c r="BO83"/>
    </row>
    <row r="84" spans="1:67" x14ac:dyDescent="0.55000000000000004">
      <c r="A84" t="s">
        <v>745</v>
      </c>
      <c r="B84" t="s">
        <v>206</v>
      </c>
      <c r="C84" t="s">
        <v>69</v>
      </c>
      <c r="D84" t="s">
        <v>131</v>
      </c>
      <c r="E84" t="s">
        <v>73</v>
      </c>
      <c r="F84" s="4">
        <v>127</v>
      </c>
      <c r="G84" t="s">
        <v>847</v>
      </c>
      <c r="H8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2.3200000000000003</v>
      </c>
      <c r="I84" s="1">
        <f>(Tabella15[[#This Row],[ALL5]]+Tabella15[[#This Row],[ALL6]]+Tabella15[[#This Row],[ALL22]]+Tabella15[[#This Row],[ALL32]]+Tabella15[[#This Row],[ALL7]]+Tabella15[[#This Row],[ALL8]])</f>
        <v>2</v>
      </c>
      <c r="J84"/>
      <c r="M84" s="21">
        <f>Tabella15[[#This Row],[IOT SPECFIC]]+Tabella15[[#This Row],[MBSE]]+Tabella15[[#This Row],[NEW MODEL]]</f>
        <v>0</v>
      </c>
      <c r="N84" s="21">
        <f>IF(Tabella15[[#This Row],[ALL]]&gt;0,1,0)</f>
        <v>0</v>
      </c>
      <c r="O84" s="1"/>
      <c r="P84" s="21">
        <f>IF(Tabella15[[#This Row],[DEPLOYMENT]]&gt;0,1,0)</f>
        <v>0</v>
      </c>
      <c r="Q84">
        <v>1</v>
      </c>
      <c r="T84" s="21">
        <f>Tabella15[[#This Row],[issues]]+Tabella15[[#This Row],[High Level]]+Tabella15[[#This Row],[ORCHESTRATION]]</f>
        <v>1</v>
      </c>
      <c r="U84" s="21">
        <f>IF(Tabella15[[#This Row],[ALL2]]&gt;0,1,0)</f>
        <v>1</v>
      </c>
      <c r="V84"/>
      <c r="Y84" s="21">
        <f>Tabella15[[#This Row],[Logginh]]+Tabella15[[#This Row],[Monitoring]]+Tabella15[[#This Row],[Performance]]</f>
        <v>0</v>
      </c>
      <c r="Z84" s="21">
        <f>IF(Tabella15[[#This Row],[ALL3]]&gt;0,1,0)</f>
        <v>0</v>
      </c>
      <c r="AA84" s="1"/>
      <c r="AB84" s="21">
        <f>IF(Tabella15[[#This Row],[TESTING]]&gt;0,1,0)</f>
        <v>0</v>
      </c>
      <c r="AC84"/>
      <c r="AD84">
        <v>1</v>
      </c>
      <c r="AH84" s="21">
        <f>Tabella15[[#This Row],[PRIVACY]]+Tabella15[[#This Row],[MATURITY MODEL]]+Tabella15[[#This Row],[ADDITIONAL]]+Tabella15[[#This Row],[DEVSECOPS]]+Tabella15[[#This Row],[SECURITY]]</f>
        <v>1</v>
      </c>
      <c r="AI84" s="21">
        <f>IF(Tabella15[[#This Row],[ALL4]]&gt;0,1,0)</f>
        <v>1</v>
      </c>
      <c r="AJ84" s="1"/>
      <c r="AK84" s="1">
        <v>0</v>
      </c>
      <c r="AL84" s="1">
        <f>(Tabella15[[#This Row],[ALL5]]+Tabella15[[#This Row],[ALL6]]+Tabella15[[#This Row],[ALL22]]+Tabella15[[#This Row],[ALL32]]+Tabella15[[#This Row],[ALL7]]+Tabella15[[#This Row],[ALL8]])*Tabella15[[#This Row],[Citazioni distinte]]</f>
        <v>0</v>
      </c>
      <c r="AM84" s="1">
        <f>(Tabella15[[#This Row],[ALL5]]+Tabella15[[#This Row],[ALL6]]+Tabella15[[#This Row],[ALL22]]+Tabella15[[#This Row],[ALL32]]+Tabella15[[#This Row],[ALL7]]+Tabella15[[#This Row],[ALL8]])*Tabella15[[#This Row],[PUNTO]]</f>
        <v>4.6400000000000006</v>
      </c>
      <c r="AN84" s="6" t="s">
        <v>102</v>
      </c>
      <c r="AO84" s="1">
        <v>10</v>
      </c>
      <c r="AP84" s="1" t="s">
        <v>102</v>
      </c>
      <c r="AQ84" s="1" t="s">
        <v>74</v>
      </c>
      <c r="AR84" s="1" t="s">
        <v>74</v>
      </c>
      <c r="AS84" s="1" t="s">
        <v>327</v>
      </c>
      <c r="AT84" s="1" t="s">
        <v>76</v>
      </c>
      <c r="AU84" s="1" t="s">
        <v>76</v>
      </c>
      <c r="AV84" t="s">
        <v>848</v>
      </c>
      <c r="AW84">
        <v>2025</v>
      </c>
      <c r="AX84" t="s">
        <v>849</v>
      </c>
      <c r="AY84" s="2" t="s">
        <v>850</v>
      </c>
      <c r="AZ84" t="s">
        <v>851</v>
      </c>
      <c r="BA84" t="s">
        <v>852</v>
      </c>
      <c r="BC84" t="s">
        <v>853</v>
      </c>
      <c r="BD84" t="s">
        <v>60</v>
      </c>
      <c r="BE84" t="s">
        <v>131</v>
      </c>
      <c r="BF84" t="s">
        <v>855</v>
      </c>
      <c r="BG84" t="s">
        <v>856</v>
      </c>
      <c r="BH84" t="s">
        <v>857</v>
      </c>
      <c r="BI84" t="s">
        <v>854</v>
      </c>
      <c r="BJ84" s="1">
        <v>0</v>
      </c>
      <c r="BK84" s="1">
        <v>0</v>
      </c>
      <c r="BL84" s="1">
        <v>0</v>
      </c>
      <c r="BM84" s="1">
        <v>0</v>
      </c>
      <c r="BN84" s="1">
        <v>0</v>
      </c>
      <c r="BO84"/>
    </row>
    <row r="85" spans="1:67" x14ac:dyDescent="0.55000000000000004">
      <c r="A85" t="s">
        <v>725</v>
      </c>
      <c r="B85" t="s">
        <v>122</v>
      </c>
      <c r="C85" t="s">
        <v>123</v>
      </c>
      <c r="D85" t="s">
        <v>256</v>
      </c>
      <c r="E85" t="s">
        <v>102</v>
      </c>
      <c r="F85" s="4">
        <v>128</v>
      </c>
      <c r="G85" t="s">
        <v>858</v>
      </c>
      <c r="H8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v>
      </c>
      <c r="I85" s="1">
        <f>(Tabella15[[#This Row],[ALL5]]+Tabella15[[#This Row],[ALL6]]+Tabella15[[#This Row],[ALL22]]+Tabella15[[#This Row],[ALL32]]+Tabella15[[#This Row],[ALL7]]+Tabella15[[#This Row],[ALL8]])</f>
        <v>3</v>
      </c>
      <c r="J85">
        <v>2</v>
      </c>
      <c r="M85" s="21">
        <f>Tabella15[[#This Row],[IOT SPECFIC]]+Tabella15[[#This Row],[MBSE]]+Tabella15[[#This Row],[NEW MODEL]]</f>
        <v>2</v>
      </c>
      <c r="N85" s="21">
        <f>IF(Tabella15[[#This Row],[ALL]]&gt;0,1,0)</f>
        <v>1</v>
      </c>
      <c r="O85" s="1">
        <v>3</v>
      </c>
      <c r="P85" s="21">
        <f>IF(Tabella15[[#This Row],[DEPLOYMENT]]&gt;0,1,0)</f>
        <v>1</v>
      </c>
      <c r="Q85"/>
      <c r="T85" s="21">
        <f>Tabella15[[#This Row],[issues]]+Tabella15[[#This Row],[High Level]]+Tabella15[[#This Row],[ORCHESTRATION]]</f>
        <v>0</v>
      </c>
      <c r="U85" s="21">
        <f>IF(Tabella15[[#This Row],[ALL2]]&gt;0,1,0)</f>
        <v>0</v>
      </c>
      <c r="V85"/>
      <c r="Y85" s="21">
        <f>Tabella15[[#This Row],[Logginh]]+Tabella15[[#This Row],[Monitoring]]+Tabella15[[#This Row],[Performance]]</f>
        <v>0</v>
      </c>
      <c r="Z85" s="21">
        <f>IF(Tabella15[[#This Row],[ALL3]]&gt;0,1,0)</f>
        <v>0</v>
      </c>
      <c r="AA85" s="1"/>
      <c r="AB85" s="21">
        <f>IF(Tabella15[[#This Row],[TESTING]]&gt;0,1,0)</f>
        <v>0</v>
      </c>
      <c r="AC85">
        <v>1</v>
      </c>
      <c r="AH85" s="21">
        <f>Tabella15[[#This Row],[PRIVACY]]+Tabella15[[#This Row],[MATURITY MODEL]]+Tabella15[[#This Row],[ADDITIONAL]]+Tabella15[[#This Row],[DEVSECOPS]]+Tabella15[[#This Row],[SECURITY]]</f>
        <v>1</v>
      </c>
      <c r="AI85" s="21">
        <f>IF(Tabella15[[#This Row],[ALL4]]&gt;0,1,0)</f>
        <v>1</v>
      </c>
      <c r="AJ85" s="1">
        <v>-1</v>
      </c>
      <c r="AK85" s="1">
        <v>20</v>
      </c>
      <c r="AL85" s="1">
        <f>(Tabella15[[#This Row],[ALL5]]+Tabella15[[#This Row],[ALL6]]+Tabella15[[#This Row],[ALL22]]+Tabella15[[#This Row],[ALL32]]+Tabella15[[#This Row],[ALL7]]+Tabella15[[#This Row],[ALL8]])*Tabella15[[#This Row],[Citazioni distinte]]</f>
        <v>60</v>
      </c>
      <c r="AM85" s="1">
        <f>(Tabella15[[#This Row],[ALL5]]+Tabella15[[#This Row],[ALL6]]+Tabella15[[#This Row],[ALL22]]+Tabella15[[#This Row],[ALL32]]+Tabella15[[#This Row],[ALL7]]+Tabella15[[#This Row],[ALL8]])*Tabella15[[#This Row],[PUNTO]]</f>
        <v>4.9499999999999993</v>
      </c>
      <c r="AN85" s="6" t="s">
        <v>102</v>
      </c>
      <c r="AO85" s="1">
        <v>23</v>
      </c>
      <c r="AP85" s="1" t="s">
        <v>74</v>
      </c>
      <c r="AQ85" s="1" t="s">
        <v>75</v>
      </c>
      <c r="AR85" s="1" t="s">
        <v>74</v>
      </c>
      <c r="AS85" s="1" t="s">
        <v>327</v>
      </c>
      <c r="AT85" s="1" t="s">
        <v>76</v>
      </c>
      <c r="AU85" s="1" t="s">
        <v>77</v>
      </c>
      <c r="AV85" t="s">
        <v>859</v>
      </c>
      <c r="AW85">
        <v>2020</v>
      </c>
      <c r="AX85" t="s">
        <v>860</v>
      </c>
      <c r="AY85" t="s">
        <v>861</v>
      </c>
      <c r="AZ85" t="s">
        <v>862</v>
      </c>
      <c r="BB85" t="s">
        <v>863</v>
      </c>
      <c r="BE85" t="s">
        <v>256</v>
      </c>
      <c r="BF85" t="s">
        <v>865</v>
      </c>
      <c r="BG85" t="s">
        <v>866</v>
      </c>
      <c r="BH85" t="s">
        <v>867</v>
      </c>
      <c r="BI85" t="s">
        <v>864</v>
      </c>
      <c r="BJ85" s="1">
        <v>20</v>
      </c>
      <c r="BK85" s="1">
        <v>0</v>
      </c>
      <c r="BL85" s="1">
        <v>12</v>
      </c>
      <c r="BM85" s="1">
        <v>0</v>
      </c>
      <c r="BN85" s="1">
        <v>20</v>
      </c>
      <c r="BO85"/>
    </row>
    <row r="86" spans="1:67" x14ac:dyDescent="0.55000000000000004">
      <c r="A86" t="s">
        <v>805</v>
      </c>
      <c r="B86" t="s">
        <v>206</v>
      </c>
      <c r="C86" t="s">
        <v>69</v>
      </c>
      <c r="D86" t="s">
        <v>85</v>
      </c>
      <c r="E86" t="s">
        <v>71</v>
      </c>
      <c r="F86" s="4">
        <v>129</v>
      </c>
      <c r="G86" t="s">
        <v>868</v>
      </c>
      <c r="H8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86" s="1">
        <f>(Tabella15[[#This Row],[ALL5]]+Tabella15[[#This Row],[ALL6]]+Tabella15[[#This Row],[ALL22]]+Tabella15[[#This Row],[ALL32]]+Tabella15[[#This Row],[ALL7]]+Tabella15[[#This Row],[ALL8]])</f>
        <v>2</v>
      </c>
      <c r="J86"/>
      <c r="M86" s="21">
        <f>Tabella15[[#This Row],[IOT SPECFIC]]+Tabella15[[#This Row],[MBSE]]+Tabella15[[#This Row],[NEW MODEL]]</f>
        <v>0</v>
      </c>
      <c r="N86" s="21">
        <f>IF(Tabella15[[#This Row],[ALL]]&gt;0,1,0)</f>
        <v>0</v>
      </c>
      <c r="O86" s="1">
        <v>2</v>
      </c>
      <c r="P86" s="21">
        <f>IF(Tabella15[[#This Row],[DEPLOYMENT]]&gt;0,1,0)</f>
        <v>1</v>
      </c>
      <c r="Q86"/>
      <c r="T86" s="21">
        <f>Tabella15[[#This Row],[issues]]+Tabella15[[#This Row],[High Level]]+Tabella15[[#This Row],[ORCHESTRATION]]</f>
        <v>0</v>
      </c>
      <c r="U86" s="21">
        <f>IF(Tabella15[[#This Row],[ALL2]]&gt;0,1,0)</f>
        <v>0</v>
      </c>
      <c r="V86"/>
      <c r="Y86" s="21">
        <f>Tabella15[[#This Row],[Logginh]]+Tabella15[[#This Row],[Monitoring]]+Tabella15[[#This Row],[Performance]]</f>
        <v>0</v>
      </c>
      <c r="Z86" s="21">
        <f>IF(Tabella15[[#This Row],[ALL3]]&gt;0,1,0)</f>
        <v>0</v>
      </c>
      <c r="AA86" s="1">
        <v>1</v>
      </c>
      <c r="AB86" s="21">
        <f>IF(Tabella15[[#This Row],[TESTING]]&gt;0,1,0)</f>
        <v>1</v>
      </c>
      <c r="AC86"/>
      <c r="AH86" s="21">
        <f>Tabella15[[#This Row],[PRIVACY]]+Tabella15[[#This Row],[MATURITY MODEL]]+Tabella15[[#This Row],[ADDITIONAL]]+Tabella15[[#This Row],[DEVSECOPS]]+Tabella15[[#This Row],[SECURITY]]</f>
        <v>0</v>
      </c>
      <c r="AI86" s="21">
        <f>IF(Tabella15[[#This Row],[ALL4]]&gt;0,1,0)</f>
        <v>0</v>
      </c>
      <c r="AJ86" s="1"/>
      <c r="AK86" s="1">
        <v>0</v>
      </c>
      <c r="AL86" s="1">
        <f>(Tabella15[[#This Row],[ALL5]]+Tabella15[[#This Row],[ALL6]]+Tabella15[[#This Row],[ALL22]]+Tabella15[[#This Row],[ALL32]]+Tabella15[[#This Row],[ALL7]]+Tabella15[[#This Row],[ALL8]])*Tabella15[[#This Row],[Citazioni distinte]]</f>
        <v>0</v>
      </c>
      <c r="AM86" s="1">
        <f>(Tabella15[[#This Row],[ALL5]]+Tabella15[[#This Row],[ALL6]]+Tabella15[[#This Row],[ALL22]]+Tabella15[[#This Row],[ALL32]]+Tabella15[[#This Row],[ALL7]]+Tabella15[[#This Row],[ALL8]])*Tabella15[[#This Row],[PUNTO]]</f>
        <v>4.62</v>
      </c>
      <c r="AN86" s="6" t="s">
        <v>73</v>
      </c>
      <c r="AO86" s="1">
        <v>6</v>
      </c>
      <c r="AP86" s="1" t="s">
        <v>74</v>
      </c>
      <c r="AQ86" s="1" t="s">
        <v>75</v>
      </c>
      <c r="AR86" s="1" t="s">
        <v>74</v>
      </c>
      <c r="AS86" s="1" t="s">
        <v>74</v>
      </c>
      <c r="AT86" s="1" t="s">
        <v>76</v>
      </c>
      <c r="AU86" s="1" t="s">
        <v>77</v>
      </c>
      <c r="AV86" t="s">
        <v>869</v>
      </c>
      <c r="AW86">
        <v>2023</v>
      </c>
      <c r="AX86" t="s">
        <v>870</v>
      </c>
      <c r="AY86" s="2" t="s">
        <v>871</v>
      </c>
      <c r="AZ86" t="s">
        <v>872</v>
      </c>
      <c r="BA86" t="s">
        <v>873</v>
      </c>
      <c r="BC86" t="s">
        <v>874</v>
      </c>
      <c r="BD86" t="s">
        <v>60</v>
      </c>
      <c r="BE86" t="s">
        <v>85</v>
      </c>
      <c r="BF86" t="s">
        <v>876</v>
      </c>
      <c r="BG86" t="s">
        <v>877</v>
      </c>
      <c r="BH86" t="s">
        <v>878</v>
      </c>
      <c r="BI86" t="s">
        <v>875</v>
      </c>
      <c r="BJ86" s="1">
        <v>0</v>
      </c>
      <c r="BK86" s="1">
        <v>0</v>
      </c>
      <c r="BL86" s="1">
        <v>0</v>
      </c>
      <c r="BM86" s="1">
        <v>0</v>
      </c>
      <c r="BN86" s="1">
        <v>0</v>
      </c>
      <c r="BO86"/>
    </row>
    <row r="87" spans="1:67" x14ac:dyDescent="0.55000000000000004">
      <c r="A87" t="s">
        <v>725</v>
      </c>
      <c r="B87" t="s">
        <v>122</v>
      </c>
      <c r="C87" t="s">
        <v>123</v>
      </c>
      <c r="D87" t="s">
        <v>131</v>
      </c>
      <c r="E87" t="s">
        <v>102</v>
      </c>
      <c r="F87" s="4">
        <v>133</v>
      </c>
      <c r="G87" t="s">
        <v>879</v>
      </c>
      <c r="H8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87" s="1">
        <f>(Tabella15[[#This Row],[ALL5]]+Tabella15[[#This Row],[ALL6]]+Tabella15[[#This Row],[ALL22]]+Tabella15[[#This Row],[ALL32]]+Tabella15[[#This Row],[ALL7]]+Tabella15[[#This Row],[ALL8]])</f>
        <v>1</v>
      </c>
      <c r="J87"/>
      <c r="M87" s="21">
        <f>Tabella15[[#This Row],[IOT SPECFIC]]+Tabella15[[#This Row],[MBSE]]+Tabella15[[#This Row],[NEW MODEL]]</f>
        <v>0</v>
      </c>
      <c r="N87" s="21">
        <f>IF(Tabella15[[#This Row],[ALL]]&gt;0,1,0)</f>
        <v>0</v>
      </c>
      <c r="O87" s="1"/>
      <c r="P87" s="21">
        <f>IF(Tabella15[[#This Row],[DEPLOYMENT]]&gt;0,1,0)</f>
        <v>0</v>
      </c>
      <c r="Q87"/>
      <c r="T87" s="21">
        <f>Tabella15[[#This Row],[issues]]+Tabella15[[#This Row],[High Level]]+Tabella15[[#This Row],[ORCHESTRATION]]</f>
        <v>0</v>
      </c>
      <c r="U87" s="21">
        <f>IF(Tabella15[[#This Row],[ALL2]]&gt;0,1,0)</f>
        <v>0</v>
      </c>
      <c r="V87"/>
      <c r="W87">
        <v>1</v>
      </c>
      <c r="Y87" s="21">
        <f>Tabella15[[#This Row],[Logginh]]+Tabella15[[#This Row],[Monitoring]]+Tabella15[[#This Row],[Performance]]</f>
        <v>1</v>
      </c>
      <c r="Z87" s="21">
        <f>IF(Tabella15[[#This Row],[ALL3]]&gt;0,1,0)</f>
        <v>1</v>
      </c>
      <c r="AA87" s="1"/>
      <c r="AB87" s="21">
        <f>IF(Tabella15[[#This Row],[TESTING]]&gt;0,1,0)</f>
        <v>0</v>
      </c>
      <c r="AC87"/>
      <c r="AH87" s="21">
        <f>Tabella15[[#This Row],[PRIVACY]]+Tabella15[[#This Row],[MATURITY MODEL]]+Tabella15[[#This Row],[ADDITIONAL]]+Tabella15[[#This Row],[DEVSECOPS]]+Tabella15[[#This Row],[SECURITY]]</f>
        <v>0</v>
      </c>
      <c r="AI87" s="21">
        <f>IF(Tabella15[[#This Row],[ALL4]]&gt;0,1,0)</f>
        <v>0</v>
      </c>
      <c r="AJ87" s="1"/>
      <c r="AK87" s="1">
        <v>17</v>
      </c>
      <c r="AL87" s="1">
        <f>(Tabella15[[#This Row],[ALL5]]+Tabella15[[#This Row],[ALL6]]+Tabella15[[#This Row],[ALL22]]+Tabella15[[#This Row],[ALL32]]+Tabella15[[#This Row],[ALL7]]+Tabella15[[#This Row],[ALL8]])*Tabella15[[#This Row],[Citazioni distinte]]</f>
        <v>17</v>
      </c>
      <c r="AM87" s="1">
        <f>(Tabella15[[#This Row],[ALL5]]+Tabella15[[#This Row],[ALL6]]+Tabella15[[#This Row],[ALL22]]+Tabella15[[#This Row],[ALL32]]+Tabella15[[#This Row],[ALL7]]+Tabella15[[#This Row],[ALL8]])*Tabella15[[#This Row],[PUNTO]]</f>
        <v>3.66</v>
      </c>
      <c r="AN87" s="6" t="s">
        <v>102</v>
      </c>
      <c r="AO87" s="1">
        <v>23</v>
      </c>
      <c r="AP87" s="1" t="s">
        <v>102</v>
      </c>
      <c r="AQ87" s="1" t="s">
        <v>102</v>
      </c>
      <c r="AR87" s="1" t="s">
        <v>102</v>
      </c>
      <c r="AS87" s="1" t="s">
        <v>74</v>
      </c>
      <c r="AT87" s="1" t="s">
        <v>77</v>
      </c>
      <c r="AU87" s="1" t="s">
        <v>77</v>
      </c>
      <c r="AV87" t="s">
        <v>880</v>
      </c>
      <c r="AW87">
        <v>2023</v>
      </c>
      <c r="AX87" t="s">
        <v>881</v>
      </c>
      <c r="AY87" t="s">
        <v>882</v>
      </c>
      <c r="AZ87" t="s">
        <v>883</v>
      </c>
      <c r="BB87" t="s">
        <v>884</v>
      </c>
      <c r="BE87" t="s">
        <v>131</v>
      </c>
      <c r="BF87" t="s">
        <v>886</v>
      </c>
      <c r="BG87" t="s">
        <v>887</v>
      </c>
      <c r="BH87" t="s">
        <v>888</v>
      </c>
      <c r="BI87" t="s">
        <v>885</v>
      </c>
      <c r="BJ87" s="1">
        <v>17</v>
      </c>
      <c r="BK87" s="1">
        <v>0</v>
      </c>
      <c r="BL87" s="1">
        <v>13</v>
      </c>
      <c r="BM87" s="1">
        <v>0</v>
      </c>
      <c r="BN87" s="1">
        <v>17</v>
      </c>
      <c r="BO87"/>
    </row>
    <row r="88" spans="1:67" x14ac:dyDescent="0.55000000000000004">
      <c r="A88" t="s">
        <v>745</v>
      </c>
      <c r="B88" t="s">
        <v>206</v>
      </c>
      <c r="C88" t="s">
        <v>69</v>
      </c>
      <c r="D88" t="s">
        <v>131</v>
      </c>
      <c r="E88" t="s">
        <v>102</v>
      </c>
      <c r="F88" s="4">
        <v>138</v>
      </c>
      <c r="G88" t="s">
        <v>889</v>
      </c>
      <c r="H8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88" s="1">
        <f>(Tabella15[[#This Row],[ALL5]]+Tabella15[[#This Row],[ALL6]]+Tabella15[[#This Row],[ALL22]]+Tabella15[[#This Row],[ALL32]]+Tabella15[[#This Row],[ALL7]]+Tabella15[[#This Row],[ALL8]])</f>
        <v>1</v>
      </c>
      <c r="J88"/>
      <c r="M88" s="21">
        <f>Tabella15[[#This Row],[IOT SPECFIC]]+Tabella15[[#This Row],[MBSE]]+Tabella15[[#This Row],[NEW MODEL]]</f>
        <v>0</v>
      </c>
      <c r="N88" s="21">
        <f>IF(Tabella15[[#This Row],[ALL]]&gt;0,1,0)</f>
        <v>0</v>
      </c>
      <c r="O88" s="1"/>
      <c r="P88" s="21">
        <f>IF(Tabella15[[#This Row],[DEPLOYMENT]]&gt;0,1,0)</f>
        <v>0</v>
      </c>
      <c r="Q88"/>
      <c r="T88" s="21">
        <f>Tabella15[[#This Row],[issues]]+Tabella15[[#This Row],[High Level]]+Tabella15[[#This Row],[ORCHESTRATION]]</f>
        <v>0</v>
      </c>
      <c r="U88" s="21">
        <f>IF(Tabella15[[#This Row],[ALL2]]&gt;0,1,0)</f>
        <v>0</v>
      </c>
      <c r="V88">
        <v>1</v>
      </c>
      <c r="Y88" s="21">
        <f>Tabella15[[#This Row],[Logginh]]+Tabella15[[#This Row],[Monitoring]]+Tabella15[[#This Row],[Performance]]</f>
        <v>1</v>
      </c>
      <c r="Z88" s="21">
        <f>IF(Tabella15[[#This Row],[ALL3]]&gt;0,1,0)</f>
        <v>1</v>
      </c>
      <c r="AA88" s="1"/>
      <c r="AB88" s="21">
        <f>IF(Tabella15[[#This Row],[TESTING]]&gt;0,1,0)</f>
        <v>0</v>
      </c>
      <c r="AC88"/>
      <c r="AH88" s="21">
        <f>Tabella15[[#This Row],[PRIVACY]]+Tabella15[[#This Row],[MATURITY MODEL]]+Tabella15[[#This Row],[ADDITIONAL]]+Tabella15[[#This Row],[DEVSECOPS]]+Tabella15[[#This Row],[SECURITY]]</f>
        <v>0</v>
      </c>
      <c r="AI88" s="21">
        <f>IF(Tabella15[[#This Row],[ALL4]]&gt;0,1,0)</f>
        <v>0</v>
      </c>
      <c r="AJ88" s="1"/>
      <c r="AK88" s="1">
        <v>2</v>
      </c>
      <c r="AL88" s="1">
        <f>(Tabella15[[#This Row],[ALL5]]+Tabella15[[#This Row],[ALL6]]+Tabella15[[#This Row],[ALL22]]+Tabella15[[#This Row],[ALL32]]+Tabella15[[#This Row],[ALL7]]+Tabella15[[#This Row],[ALL8]])*Tabella15[[#This Row],[Citazioni distinte]]</f>
        <v>2</v>
      </c>
      <c r="AM88" s="1">
        <f>(Tabella15[[#This Row],[ALL5]]+Tabella15[[#This Row],[ALL6]]+Tabella15[[#This Row],[ALL22]]+Tabella15[[#This Row],[ALL32]]+Tabella15[[#This Row],[ALL7]]+Tabella15[[#This Row],[ALL8]])*Tabella15[[#This Row],[PUNTO]]</f>
        <v>2.31</v>
      </c>
      <c r="AN88" s="6" t="s">
        <v>102</v>
      </c>
      <c r="AO88" s="1">
        <v>6</v>
      </c>
      <c r="AP88" s="1" t="s">
        <v>74</v>
      </c>
      <c r="AQ88" s="1" t="s">
        <v>74</v>
      </c>
      <c r="AR88" s="1" t="s">
        <v>75</v>
      </c>
      <c r="AS88" s="1" t="s">
        <v>74</v>
      </c>
      <c r="AT88" s="1" t="s">
        <v>76</v>
      </c>
      <c r="AU88" s="1" t="s">
        <v>77</v>
      </c>
      <c r="AV88" t="s">
        <v>890</v>
      </c>
      <c r="AW88">
        <v>2025</v>
      </c>
      <c r="AX88" t="s">
        <v>891</v>
      </c>
      <c r="AY88" s="2" t="s">
        <v>892</v>
      </c>
      <c r="AZ88" t="s">
        <v>893</v>
      </c>
      <c r="BA88" t="s">
        <v>894</v>
      </c>
      <c r="BC88" t="s">
        <v>895</v>
      </c>
      <c r="BD88" t="s">
        <v>60</v>
      </c>
      <c r="BE88" t="s">
        <v>131</v>
      </c>
      <c r="BF88" t="s">
        <v>897</v>
      </c>
      <c r="BG88" t="s">
        <v>898</v>
      </c>
      <c r="BH88" t="s">
        <v>88</v>
      </c>
      <c r="BI88" t="s">
        <v>896</v>
      </c>
      <c r="BJ88" s="1">
        <v>0</v>
      </c>
      <c r="BK88" s="1">
        <v>2</v>
      </c>
      <c r="BL88" s="1">
        <v>0</v>
      </c>
      <c r="BM88" s="1">
        <v>0</v>
      </c>
      <c r="BN88" s="1">
        <v>2</v>
      </c>
      <c r="BO88"/>
    </row>
    <row r="89" spans="1:67" x14ac:dyDescent="0.55000000000000004">
      <c r="A89" t="s">
        <v>774</v>
      </c>
      <c r="B89" t="s">
        <v>206</v>
      </c>
      <c r="C89" t="s">
        <v>69</v>
      </c>
      <c r="D89" t="s">
        <v>85</v>
      </c>
      <c r="E89" t="s">
        <v>71</v>
      </c>
      <c r="F89" s="4">
        <v>139</v>
      </c>
      <c r="G89" t="s">
        <v>899</v>
      </c>
      <c r="H8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89" s="1">
        <f>(Tabella15[[#This Row],[ALL5]]+Tabella15[[#This Row],[ALL6]]+Tabella15[[#This Row],[ALL22]]+Tabella15[[#This Row],[ALL32]]+Tabella15[[#This Row],[ALL7]]+Tabella15[[#This Row],[ALL8]])</f>
        <v>1</v>
      </c>
      <c r="J89"/>
      <c r="L89">
        <v>1</v>
      </c>
      <c r="M89" s="21">
        <f>Tabella15[[#This Row],[IOT SPECFIC]]+Tabella15[[#This Row],[MBSE]]+Tabella15[[#This Row],[NEW MODEL]]</f>
        <v>1</v>
      </c>
      <c r="N89" s="21">
        <f>IF(Tabella15[[#This Row],[ALL]]&gt;0,1,0)</f>
        <v>1</v>
      </c>
      <c r="O89" s="1"/>
      <c r="P89" s="21">
        <f>IF(Tabella15[[#This Row],[DEPLOYMENT]]&gt;0,1,0)</f>
        <v>0</v>
      </c>
      <c r="Q89"/>
      <c r="T89" s="21">
        <f>Tabella15[[#This Row],[issues]]+Tabella15[[#This Row],[High Level]]+Tabella15[[#This Row],[ORCHESTRATION]]</f>
        <v>0</v>
      </c>
      <c r="U89" s="21">
        <f>IF(Tabella15[[#This Row],[ALL2]]&gt;0,1,0)</f>
        <v>0</v>
      </c>
      <c r="V89"/>
      <c r="Y89" s="21">
        <f>Tabella15[[#This Row],[Logginh]]+Tabella15[[#This Row],[Monitoring]]+Tabella15[[#This Row],[Performance]]</f>
        <v>0</v>
      </c>
      <c r="Z89" s="21">
        <f>IF(Tabella15[[#This Row],[ALL3]]&gt;0,1,0)</f>
        <v>0</v>
      </c>
      <c r="AA89" s="1"/>
      <c r="AB89" s="21">
        <f>IF(Tabella15[[#This Row],[TESTING]]&gt;0,1,0)</f>
        <v>0</v>
      </c>
      <c r="AC89"/>
      <c r="AH89" s="21">
        <f>Tabella15[[#This Row],[PRIVACY]]+Tabella15[[#This Row],[MATURITY MODEL]]+Tabella15[[#This Row],[ADDITIONAL]]+Tabella15[[#This Row],[DEVSECOPS]]+Tabella15[[#This Row],[SECURITY]]</f>
        <v>0</v>
      </c>
      <c r="AI89" s="21">
        <f>IF(Tabella15[[#This Row],[ALL4]]&gt;0,1,0)</f>
        <v>0</v>
      </c>
      <c r="AJ89" s="1"/>
      <c r="AK89" s="1">
        <v>0</v>
      </c>
      <c r="AL89" s="1">
        <f>(Tabella15[[#This Row],[ALL5]]+Tabella15[[#This Row],[ALL6]]+Tabella15[[#This Row],[ALL22]]+Tabella15[[#This Row],[ALL32]]+Tabella15[[#This Row],[ALL7]]+Tabella15[[#This Row],[ALL8]])*Tabella15[[#This Row],[Citazioni distinte]]</f>
        <v>0</v>
      </c>
      <c r="AM89" s="1">
        <f>(Tabella15[[#This Row],[ALL5]]+Tabella15[[#This Row],[ALL6]]+Tabella15[[#This Row],[ALL22]]+Tabella15[[#This Row],[ALL32]]+Tabella15[[#This Row],[ALL7]]+Tabella15[[#This Row],[ALL8]])*Tabella15[[#This Row],[PUNTO]]</f>
        <v>0.99</v>
      </c>
      <c r="AN89" s="6" t="s">
        <v>73</v>
      </c>
      <c r="AO89" s="1">
        <v>6</v>
      </c>
      <c r="AP89" s="1" t="s">
        <v>75</v>
      </c>
      <c r="AQ89" s="1" t="s">
        <v>75</v>
      </c>
      <c r="AR89" s="1" t="s">
        <v>75</v>
      </c>
      <c r="AS89" s="1" t="s">
        <v>327</v>
      </c>
      <c r="AT89" s="1" t="s">
        <v>76</v>
      </c>
      <c r="AU89" s="1" t="s">
        <v>77</v>
      </c>
      <c r="AV89" t="s">
        <v>900</v>
      </c>
      <c r="AW89">
        <v>2023</v>
      </c>
      <c r="AX89" t="s">
        <v>901</v>
      </c>
      <c r="AY89" s="2" t="s">
        <v>902</v>
      </c>
      <c r="AZ89" t="s">
        <v>903</v>
      </c>
      <c r="BA89" t="s">
        <v>904</v>
      </c>
      <c r="BC89" t="s">
        <v>905</v>
      </c>
      <c r="BD89" t="s">
        <v>60</v>
      </c>
      <c r="BE89" t="s">
        <v>85</v>
      </c>
      <c r="BF89" t="s">
        <v>1211</v>
      </c>
      <c r="BG89" t="s">
        <v>907</v>
      </c>
      <c r="BH89" t="s">
        <v>88</v>
      </c>
      <c r="BI89" t="s">
        <v>906</v>
      </c>
      <c r="BJ89" s="1">
        <v>0</v>
      </c>
      <c r="BK89" s="1">
        <v>0</v>
      </c>
      <c r="BL89" s="1">
        <v>0</v>
      </c>
      <c r="BM89" s="1">
        <v>0</v>
      </c>
      <c r="BN89" s="1">
        <v>0</v>
      </c>
      <c r="BO89"/>
    </row>
    <row r="90" spans="1:67" x14ac:dyDescent="0.55000000000000004">
      <c r="A90" t="s">
        <v>745</v>
      </c>
      <c r="B90" t="s">
        <v>206</v>
      </c>
      <c r="C90" t="s">
        <v>69</v>
      </c>
      <c r="D90" t="s">
        <v>100</v>
      </c>
      <c r="E90" t="s">
        <v>71</v>
      </c>
      <c r="F90" s="4">
        <v>143</v>
      </c>
      <c r="G90" t="s">
        <v>908</v>
      </c>
      <c r="H9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90" s="1">
        <f>(Tabella15[[#This Row],[ALL5]]+Tabella15[[#This Row],[ALL6]]+Tabella15[[#This Row],[ALL22]]+Tabella15[[#This Row],[ALL32]]+Tabella15[[#This Row],[ALL7]]+Tabella15[[#This Row],[ALL8]])</f>
        <v>2</v>
      </c>
      <c r="J90"/>
      <c r="M90" s="21">
        <f>Tabella15[[#This Row],[IOT SPECFIC]]+Tabella15[[#This Row],[MBSE]]+Tabella15[[#This Row],[NEW MODEL]]</f>
        <v>0</v>
      </c>
      <c r="N90" s="21">
        <f>IF(Tabella15[[#This Row],[ALL]]&gt;0,1,0)</f>
        <v>0</v>
      </c>
      <c r="O90" s="1">
        <v>3</v>
      </c>
      <c r="P90" s="21">
        <f>IF(Tabella15[[#This Row],[DEPLOYMENT]]&gt;0,1,0)</f>
        <v>1</v>
      </c>
      <c r="Q90"/>
      <c r="T90" s="21">
        <f>Tabella15[[#This Row],[issues]]+Tabella15[[#This Row],[High Level]]+Tabella15[[#This Row],[ORCHESTRATION]]</f>
        <v>0</v>
      </c>
      <c r="U90" s="21">
        <f>IF(Tabella15[[#This Row],[ALL2]]&gt;0,1,0)</f>
        <v>0</v>
      </c>
      <c r="V90"/>
      <c r="Y90" s="21">
        <f>Tabella15[[#This Row],[Logginh]]+Tabella15[[#This Row],[Monitoring]]+Tabella15[[#This Row],[Performance]]</f>
        <v>0</v>
      </c>
      <c r="Z90" s="21">
        <f>IF(Tabella15[[#This Row],[ALL3]]&gt;0,1,0)</f>
        <v>0</v>
      </c>
      <c r="AA90" s="1"/>
      <c r="AB90" s="21">
        <f>IF(Tabella15[[#This Row],[TESTING]]&gt;0,1,0)</f>
        <v>0</v>
      </c>
      <c r="AC90"/>
      <c r="AD90">
        <v>1</v>
      </c>
      <c r="AH90" s="21">
        <f>Tabella15[[#This Row],[PRIVACY]]+Tabella15[[#This Row],[MATURITY MODEL]]+Tabella15[[#This Row],[ADDITIONAL]]+Tabella15[[#This Row],[DEVSECOPS]]+Tabella15[[#This Row],[SECURITY]]</f>
        <v>1</v>
      </c>
      <c r="AI90" s="21">
        <f>IF(Tabella15[[#This Row],[ALL4]]&gt;0,1,0)</f>
        <v>1</v>
      </c>
      <c r="AJ90" s="1"/>
      <c r="AK90" s="1">
        <v>1</v>
      </c>
      <c r="AL90" s="1">
        <f>(Tabella15[[#This Row],[ALL5]]+Tabella15[[#This Row],[ALL6]]+Tabella15[[#This Row],[ALL22]]+Tabella15[[#This Row],[ALL32]]+Tabella15[[#This Row],[ALL7]]+Tabella15[[#This Row],[ALL8]])*Tabella15[[#This Row],[Citazioni distinte]]</f>
        <v>2</v>
      </c>
      <c r="AM90" s="1">
        <f>(Tabella15[[#This Row],[ALL5]]+Tabella15[[#This Row],[ALL6]]+Tabella15[[#This Row],[ALL22]]+Tabella15[[#This Row],[ALL32]]+Tabella15[[#This Row],[ALL7]]+Tabella15[[#This Row],[ALL8]])*Tabella15[[#This Row],[PUNTO]]</f>
        <v>2.64</v>
      </c>
      <c r="AN90" s="6" t="s">
        <v>73</v>
      </c>
      <c r="AO90" s="1">
        <v>6</v>
      </c>
      <c r="AP90" s="1" t="s">
        <v>75</v>
      </c>
      <c r="AQ90" s="1" t="s">
        <v>75</v>
      </c>
      <c r="AR90" s="1" t="s">
        <v>75</v>
      </c>
      <c r="AS90" s="1" t="s">
        <v>75</v>
      </c>
      <c r="AT90" s="1" t="s">
        <v>76</v>
      </c>
      <c r="AU90" s="1" t="s">
        <v>76</v>
      </c>
      <c r="AV90" t="s">
        <v>909</v>
      </c>
      <c r="AW90">
        <v>2023</v>
      </c>
      <c r="AX90" t="s">
        <v>910</v>
      </c>
      <c r="AY90" s="2" t="s">
        <v>911</v>
      </c>
      <c r="AZ90" t="s">
        <v>912</v>
      </c>
      <c r="BA90" t="s">
        <v>913</v>
      </c>
      <c r="BC90" t="s">
        <v>914</v>
      </c>
      <c r="BD90" t="s">
        <v>60</v>
      </c>
      <c r="BE90" t="s">
        <v>100</v>
      </c>
      <c r="BF90" t="s">
        <v>916</v>
      </c>
      <c r="BG90" t="s">
        <v>917</v>
      </c>
      <c r="BH90" t="s">
        <v>88</v>
      </c>
      <c r="BI90" t="s">
        <v>915</v>
      </c>
      <c r="BJ90" s="1">
        <v>1</v>
      </c>
      <c r="BK90" s="1">
        <v>0</v>
      </c>
      <c r="BL90" s="1">
        <v>0</v>
      </c>
      <c r="BM90" s="1">
        <v>0</v>
      </c>
      <c r="BN90" s="1">
        <v>1</v>
      </c>
      <c r="BO90"/>
    </row>
    <row r="91" spans="1:67" x14ac:dyDescent="0.55000000000000004">
      <c r="A91" t="s">
        <v>745</v>
      </c>
      <c r="B91" t="s">
        <v>206</v>
      </c>
      <c r="C91" t="s">
        <v>69</v>
      </c>
      <c r="D91" t="s">
        <v>131</v>
      </c>
      <c r="E91" t="s">
        <v>73</v>
      </c>
      <c r="F91" s="4">
        <v>144</v>
      </c>
      <c r="G91" t="s">
        <v>918</v>
      </c>
      <c r="H9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2.64</v>
      </c>
      <c r="I91" s="1">
        <f>(Tabella15[[#This Row],[ALL5]]+Tabella15[[#This Row],[ALL6]]+Tabella15[[#This Row],[ALL22]]+Tabella15[[#This Row],[ALL32]]+Tabella15[[#This Row],[ALL7]]+Tabella15[[#This Row],[ALL8]])</f>
        <v>1</v>
      </c>
      <c r="J91"/>
      <c r="M91" s="21">
        <f>Tabella15[[#This Row],[IOT SPECFIC]]+Tabella15[[#This Row],[MBSE]]+Tabella15[[#This Row],[NEW MODEL]]</f>
        <v>0</v>
      </c>
      <c r="N91" s="21">
        <f>IF(Tabella15[[#This Row],[ALL]]&gt;0,1,0)</f>
        <v>0</v>
      </c>
      <c r="O91" s="1">
        <v>3</v>
      </c>
      <c r="P91" s="21">
        <f>IF(Tabella15[[#This Row],[DEPLOYMENT]]&gt;0,1,0)</f>
        <v>1</v>
      </c>
      <c r="Q91"/>
      <c r="T91" s="21">
        <f>Tabella15[[#This Row],[issues]]+Tabella15[[#This Row],[High Level]]+Tabella15[[#This Row],[ORCHESTRATION]]</f>
        <v>0</v>
      </c>
      <c r="U91" s="21">
        <f>IF(Tabella15[[#This Row],[ALL2]]&gt;0,1,0)</f>
        <v>0</v>
      </c>
      <c r="V91"/>
      <c r="Y91" s="21">
        <f>Tabella15[[#This Row],[Logginh]]+Tabella15[[#This Row],[Monitoring]]+Tabella15[[#This Row],[Performance]]</f>
        <v>0</v>
      </c>
      <c r="Z91" s="21">
        <f>IF(Tabella15[[#This Row],[ALL3]]&gt;0,1,0)</f>
        <v>0</v>
      </c>
      <c r="AA91" s="1"/>
      <c r="AB91" s="21">
        <f>IF(Tabella15[[#This Row],[TESTING]]&gt;0,1,0)</f>
        <v>0</v>
      </c>
      <c r="AC91"/>
      <c r="AH91" s="21">
        <f>Tabella15[[#This Row],[PRIVACY]]+Tabella15[[#This Row],[MATURITY MODEL]]+Tabella15[[#This Row],[ADDITIONAL]]+Tabella15[[#This Row],[DEVSECOPS]]+Tabella15[[#This Row],[SECURITY]]</f>
        <v>0</v>
      </c>
      <c r="AI91" s="21">
        <f>IF(Tabella15[[#This Row],[ALL4]]&gt;0,1,0)</f>
        <v>0</v>
      </c>
      <c r="AJ91" s="1"/>
      <c r="AK91" s="1">
        <v>1</v>
      </c>
      <c r="AL91" s="1">
        <f>(Tabella15[[#This Row],[ALL5]]+Tabella15[[#This Row],[ALL6]]+Tabella15[[#This Row],[ALL22]]+Tabella15[[#This Row],[ALL32]]+Tabella15[[#This Row],[ALL7]]+Tabella15[[#This Row],[ALL8]])*Tabella15[[#This Row],[Citazioni distinte]]</f>
        <v>1</v>
      </c>
      <c r="AM91" s="1">
        <f>(Tabella15[[#This Row],[ALL5]]+Tabella15[[#This Row],[ALL6]]+Tabella15[[#This Row],[ALL22]]+Tabella15[[#This Row],[ALL32]]+Tabella15[[#This Row],[ALL7]]+Tabella15[[#This Row],[ALL8]])*Tabella15[[#This Row],[PUNTO]]</f>
        <v>2.64</v>
      </c>
      <c r="AN91" s="6" t="s">
        <v>73</v>
      </c>
      <c r="AO91" s="1">
        <v>6</v>
      </c>
      <c r="AP91" s="1" t="s">
        <v>74</v>
      </c>
      <c r="AQ91" s="1" t="s">
        <v>74</v>
      </c>
      <c r="AR91" s="1" t="s">
        <v>74</v>
      </c>
      <c r="AS91" s="1" t="s">
        <v>74</v>
      </c>
      <c r="AT91" s="1" t="s">
        <v>77</v>
      </c>
      <c r="AU91" s="1" t="s">
        <v>77</v>
      </c>
      <c r="AV91" t="s">
        <v>919</v>
      </c>
      <c r="AW91">
        <v>2024</v>
      </c>
      <c r="AX91" t="s">
        <v>920</v>
      </c>
      <c r="AY91" s="2" t="s">
        <v>921</v>
      </c>
      <c r="AZ91" t="s">
        <v>922</v>
      </c>
      <c r="BA91" t="s">
        <v>923</v>
      </c>
      <c r="BC91" t="s">
        <v>924</v>
      </c>
      <c r="BD91" t="s">
        <v>60</v>
      </c>
      <c r="BE91" t="s">
        <v>131</v>
      </c>
      <c r="BF91" t="s">
        <v>926</v>
      </c>
      <c r="BG91" t="s">
        <v>927</v>
      </c>
      <c r="BH91" t="s">
        <v>928</v>
      </c>
      <c r="BI91" t="s">
        <v>925</v>
      </c>
      <c r="BJ91" s="1">
        <v>1</v>
      </c>
      <c r="BK91" s="1">
        <v>0</v>
      </c>
      <c r="BL91" s="1">
        <v>0</v>
      </c>
      <c r="BM91" s="1">
        <v>0</v>
      </c>
      <c r="BN91" s="1">
        <v>1</v>
      </c>
      <c r="BO91"/>
    </row>
    <row r="92" spans="1:67" x14ac:dyDescent="0.55000000000000004">
      <c r="A92" t="s">
        <v>745</v>
      </c>
      <c r="B92" t="s">
        <v>206</v>
      </c>
      <c r="C92" t="s">
        <v>69</v>
      </c>
      <c r="D92" t="s">
        <v>131</v>
      </c>
      <c r="E92" t="s">
        <v>73</v>
      </c>
      <c r="F92" s="4">
        <v>145</v>
      </c>
      <c r="G92" t="s">
        <v>929</v>
      </c>
      <c r="H9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92" s="1">
        <f>(Tabella15[[#This Row],[ALL5]]+Tabella15[[#This Row],[ALL6]]+Tabella15[[#This Row],[ALL22]]+Tabella15[[#This Row],[ALL32]]+Tabella15[[#This Row],[ALL7]]+Tabella15[[#This Row],[ALL8]])</f>
        <v>1</v>
      </c>
      <c r="J92"/>
      <c r="M92" s="21">
        <f>Tabella15[[#This Row],[IOT SPECFIC]]+Tabella15[[#This Row],[MBSE]]+Tabella15[[#This Row],[NEW MODEL]]</f>
        <v>0</v>
      </c>
      <c r="N92" s="21">
        <f>IF(Tabella15[[#This Row],[ALL]]&gt;0,1,0)</f>
        <v>0</v>
      </c>
      <c r="O92" s="1">
        <v>2</v>
      </c>
      <c r="P92" s="21">
        <f>IF(Tabella15[[#This Row],[DEPLOYMENT]]&gt;0,1,0)</f>
        <v>1</v>
      </c>
      <c r="Q92"/>
      <c r="T92" s="21">
        <f>Tabella15[[#This Row],[issues]]+Tabella15[[#This Row],[High Level]]+Tabella15[[#This Row],[ORCHESTRATION]]</f>
        <v>0</v>
      </c>
      <c r="U92" s="21">
        <f>IF(Tabella15[[#This Row],[ALL2]]&gt;0,1,0)</f>
        <v>0</v>
      </c>
      <c r="V92"/>
      <c r="Y92" s="21">
        <f>Tabella15[[#This Row],[Logginh]]+Tabella15[[#This Row],[Monitoring]]+Tabella15[[#This Row],[Performance]]</f>
        <v>0</v>
      </c>
      <c r="Z92" s="21">
        <f>IF(Tabella15[[#This Row],[ALL3]]&gt;0,1,0)</f>
        <v>0</v>
      </c>
      <c r="AA92" s="1"/>
      <c r="AB92" s="21">
        <f>IF(Tabella15[[#This Row],[TESTING]]&gt;0,1,0)</f>
        <v>0</v>
      </c>
      <c r="AC92"/>
      <c r="AH92" s="21">
        <f>Tabella15[[#This Row],[PRIVACY]]+Tabella15[[#This Row],[MATURITY MODEL]]+Tabella15[[#This Row],[ADDITIONAL]]+Tabella15[[#This Row],[DEVSECOPS]]+Tabella15[[#This Row],[SECURITY]]</f>
        <v>0</v>
      </c>
      <c r="AI92" s="21">
        <f>IF(Tabella15[[#This Row],[ALL4]]&gt;0,1,0)</f>
        <v>0</v>
      </c>
      <c r="AJ92" s="1"/>
      <c r="AK92" s="1">
        <v>3</v>
      </c>
      <c r="AL92" s="1">
        <f>(Tabella15[[#This Row],[ALL5]]+Tabella15[[#This Row],[ALL6]]+Tabella15[[#This Row],[ALL22]]+Tabella15[[#This Row],[ALL32]]+Tabella15[[#This Row],[ALL7]]+Tabella15[[#This Row],[ALL8]])*Tabella15[[#This Row],[Citazioni distinte]]</f>
        <v>3</v>
      </c>
      <c r="AM92" s="1">
        <f>(Tabella15[[#This Row],[ALL5]]+Tabella15[[#This Row],[ALL6]]+Tabella15[[#This Row],[ALL22]]+Tabella15[[#This Row],[ALL32]]+Tabella15[[#This Row],[ALL7]]+Tabella15[[#This Row],[ALL8]])*Tabella15[[#This Row],[PUNTO]]</f>
        <v>2.31</v>
      </c>
      <c r="AN92" s="6" t="s">
        <v>73</v>
      </c>
      <c r="AO92" s="1">
        <v>7</v>
      </c>
      <c r="AP92" s="1" t="s">
        <v>74</v>
      </c>
      <c r="AQ92" s="1" t="s">
        <v>75</v>
      </c>
      <c r="AR92" s="1" t="s">
        <v>74</v>
      </c>
      <c r="AS92" s="1" t="s">
        <v>74</v>
      </c>
      <c r="AT92" s="1" t="s">
        <v>77</v>
      </c>
      <c r="AU92" s="1" t="s">
        <v>77</v>
      </c>
      <c r="AV92" t="s">
        <v>930</v>
      </c>
      <c r="AW92">
        <v>2024</v>
      </c>
      <c r="AX92" t="s">
        <v>931</v>
      </c>
      <c r="AY92" s="2" t="s">
        <v>932</v>
      </c>
      <c r="AZ92" t="s">
        <v>933</v>
      </c>
      <c r="BA92" t="s">
        <v>934</v>
      </c>
      <c r="BC92" t="s">
        <v>935</v>
      </c>
      <c r="BD92" t="s">
        <v>60</v>
      </c>
      <c r="BE92" t="s">
        <v>131</v>
      </c>
      <c r="BF92" t="s">
        <v>937</v>
      </c>
      <c r="BG92" t="s">
        <v>938</v>
      </c>
      <c r="BH92" t="s">
        <v>939</v>
      </c>
      <c r="BI92" t="s">
        <v>936</v>
      </c>
      <c r="BJ92" s="1">
        <v>0</v>
      </c>
      <c r="BK92" s="1">
        <v>3</v>
      </c>
      <c r="BL92" s="1">
        <v>0</v>
      </c>
      <c r="BM92" s="1">
        <v>0</v>
      </c>
      <c r="BN92" s="1">
        <v>3</v>
      </c>
      <c r="BO92"/>
    </row>
    <row r="93" spans="1:67" x14ac:dyDescent="0.55000000000000004">
      <c r="A93" t="s">
        <v>745</v>
      </c>
      <c r="B93" t="s">
        <v>206</v>
      </c>
      <c r="C93" t="s">
        <v>69</v>
      </c>
      <c r="D93" t="s">
        <v>202</v>
      </c>
      <c r="E93" t="s">
        <v>73</v>
      </c>
      <c r="F93" s="4">
        <v>146</v>
      </c>
      <c r="G93" t="s">
        <v>940</v>
      </c>
      <c r="H9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v>
      </c>
      <c r="I93" s="1">
        <f>(Tabella15[[#This Row],[ALL5]]+Tabella15[[#This Row],[ALL6]]+Tabella15[[#This Row],[ALL22]]+Tabella15[[#This Row],[ALL32]]+Tabella15[[#This Row],[ALL7]]+Tabella15[[#This Row],[ALL8]])</f>
        <v>1</v>
      </c>
      <c r="J93"/>
      <c r="M93" s="21">
        <f>Tabella15[[#This Row],[IOT SPECFIC]]+Tabella15[[#This Row],[MBSE]]+Tabella15[[#This Row],[NEW MODEL]]</f>
        <v>0</v>
      </c>
      <c r="N93" s="21">
        <f>IF(Tabella15[[#This Row],[ALL]]&gt;0,1,0)</f>
        <v>0</v>
      </c>
      <c r="O93" s="1">
        <v>3</v>
      </c>
      <c r="P93" s="21">
        <f>IF(Tabella15[[#This Row],[DEPLOYMENT]]&gt;0,1,0)</f>
        <v>1</v>
      </c>
      <c r="Q93"/>
      <c r="T93" s="21">
        <f>Tabella15[[#This Row],[issues]]+Tabella15[[#This Row],[High Level]]+Tabella15[[#This Row],[ORCHESTRATION]]</f>
        <v>0</v>
      </c>
      <c r="U93" s="21">
        <f>IF(Tabella15[[#This Row],[ALL2]]&gt;0,1,0)</f>
        <v>0</v>
      </c>
      <c r="V93"/>
      <c r="Y93" s="21">
        <f>Tabella15[[#This Row],[Logginh]]+Tabella15[[#This Row],[Monitoring]]+Tabella15[[#This Row],[Performance]]</f>
        <v>0</v>
      </c>
      <c r="Z93" s="21">
        <f>IF(Tabella15[[#This Row],[ALL3]]&gt;0,1,0)</f>
        <v>0</v>
      </c>
      <c r="AA93" s="1"/>
      <c r="AB93" s="21">
        <f>IF(Tabella15[[#This Row],[TESTING]]&gt;0,1,0)</f>
        <v>0</v>
      </c>
      <c r="AC93"/>
      <c r="AH93" s="21">
        <f>Tabella15[[#This Row],[PRIVACY]]+Tabella15[[#This Row],[MATURITY MODEL]]+Tabella15[[#This Row],[ADDITIONAL]]+Tabella15[[#This Row],[DEVSECOPS]]+Tabella15[[#This Row],[SECURITY]]</f>
        <v>0</v>
      </c>
      <c r="AI93" s="21">
        <f>IF(Tabella15[[#This Row],[ALL4]]&gt;0,1,0)</f>
        <v>0</v>
      </c>
      <c r="AJ93" s="1"/>
      <c r="AK93" s="1">
        <v>0</v>
      </c>
      <c r="AL93" s="1">
        <f>(Tabella15[[#This Row],[ALL5]]+Tabella15[[#This Row],[ALL6]]+Tabella15[[#This Row],[ALL22]]+Tabella15[[#This Row],[ALL32]]+Tabella15[[#This Row],[ALL7]]+Tabella15[[#This Row],[ALL8]])*Tabella15[[#This Row],[Citazioni distinte]]</f>
        <v>0</v>
      </c>
      <c r="AM93" s="1">
        <f>(Tabella15[[#This Row],[ALL5]]+Tabella15[[#This Row],[ALL6]]+Tabella15[[#This Row],[ALL22]]+Tabella15[[#This Row],[ALL32]]+Tabella15[[#This Row],[ALL7]]+Tabella15[[#This Row],[ALL8]])*Tabella15[[#This Row],[PUNTO]]</f>
        <v>1.98</v>
      </c>
      <c r="AN93" s="6" t="s">
        <v>73</v>
      </c>
      <c r="AO93" s="1">
        <v>7</v>
      </c>
      <c r="AP93" s="1" t="s">
        <v>74</v>
      </c>
      <c r="AQ93" s="1" t="s">
        <v>75</v>
      </c>
      <c r="AR93" s="1" t="s">
        <v>75</v>
      </c>
      <c r="AS93" s="1" t="s">
        <v>74</v>
      </c>
      <c r="AT93" s="1" t="s">
        <v>76</v>
      </c>
      <c r="AU93" s="1" t="s">
        <v>77</v>
      </c>
      <c r="AV93" t="s">
        <v>941</v>
      </c>
      <c r="AW93">
        <v>2025</v>
      </c>
      <c r="AX93" t="s">
        <v>942</v>
      </c>
      <c r="AY93" s="2" t="s">
        <v>943</v>
      </c>
      <c r="AZ93" t="s">
        <v>944</v>
      </c>
      <c r="BA93" t="s">
        <v>945</v>
      </c>
      <c r="BC93" t="s">
        <v>946</v>
      </c>
      <c r="BD93" t="s">
        <v>60</v>
      </c>
      <c r="BE93" t="s">
        <v>202</v>
      </c>
      <c r="BF93" t="s">
        <v>948</v>
      </c>
      <c r="BG93" t="s">
        <v>949</v>
      </c>
      <c r="BH93" t="s">
        <v>950</v>
      </c>
      <c r="BI93" t="s">
        <v>947</v>
      </c>
      <c r="BJ93" s="1">
        <v>0</v>
      </c>
      <c r="BK93" s="1">
        <v>0</v>
      </c>
      <c r="BL93" s="1">
        <v>0</v>
      </c>
      <c r="BM93" s="1">
        <v>0</v>
      </c>
      <c r="BN93" s="1">
        <v>0</v>
      </c>
      <c r="BO93"/>
    </row>
    <row r="94" spans="1:67" x14ac:dyDescent="0.55000000000000004">
      <c r="A94" t="s">
        <v>715</v>
      </c>
      <c r="B94" t="s">
        <v>122</v>
      </c>
      <c r="C94" t="s">
        <v>123</v>
      </c>
      <c r="D94" t="s">
        <v>85</v>
      </c>
      <c r="E94" t="s">
        <v>102</v>
      </c>
      <c r="F94" s="4">
        <v>149</v>
      </c>
      <c r="G94" t="s">
        <v>951</v>
      </c>
      <c r="H9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94" s="1">
        <f>(Tabella15[[#This Row],[ALL5]]+Tabella15[[#This Row],[ALL6]]+Tabella15[[#This Row],[ALL22]]+Tabella15[[#This Row],[ALL32]]+Tabella15[[#This Row],[ALL7]]+Tabella15[[#This Row],[ALL8]])</f>
        <v>2</v>
      </c>
      <c r="J94"/>
      <c r="M94" s="21">
        <f>Tabella15[[#This Row],[IOT SPECFIC]]+Tabella15[[#This Row],[MBSE]]+Tabella15[[#This Row],[NEW MODEL]]</f>
        <v>0</v>
      </c>
      <c r="N94" s="21">
        <f>IF(Tabella15[[#This Row],[ALL]]&gt;0,1,0)</f>
        <v>0</v>
      </c>
      <c r="O94" s="1">
        <v>3</v>
      </c>
      <c r="P94" s="21">
        <f>IF(Tabella15[[#This Row],[DEPLOYMENT]]&gt;0,1,0)</f>
        <v>1</v>
      </c>
      <c r="Q94"/>
      <c r="R94">
        <v>1</v>
      </c>
      <c r="T94" s="21">
        <f>Tabella15[[#This Row],[issues]]+Tabella15[[#This Row],[High Level]]+Tabella15[[#This Row],[ORCHESTRATION]]</f>
        <v>1</v>
      </c>
      <c r="U94" s="21">
        <f>IF(Tabella15[[#This Row],[ALL2]]&gt;0,1,0)</f>
        <v>1</v>
      </c>
      <c r="V94"/>
      <c r="Y94" s="21">
        <f>Tabella15[[#This Row],[Logginh]]+Tabella15[[#This Row],[Monitoring]]+Tabella15[[#This Row],[Performance]]</f>
        <v>0</v>
      </c>
      <c r="Z94" s="21">
        <f>IF(Tabella15[[#This Row],[ALL3]]&gt;0,1,0)</f>
        <v>0</v>
      </c>
      <c r="AA94" s="1"/>
      <c r="AB94" s="21">
        <f>IF(Tabella15[[#This Row],[TESTING]]&gt;0,1,0)</f>
        <v>0</v>
      </c>
      <c r="AC94"/>
      <c r="AH94" s="21">
        <f>Tabella15[[#This Row],[PRIVACY]]+Tabella15[[#This Row],[MATURITY MODEL]]+Tabella15[[#This Row],[ADDITIONAL]]+Tabella15[[#This Row],[DEVSECOPS]]+Tabella15[[#This Row],[SECURITY]]</f>
        <v>0</v>
      </c>
      <c r="AI94" s="21">
        <f>IF(Tabella15[[#This Row],[ALL4]]&gt;0,1,0)</f>
        <v>0</v>
      </c>
      <c r="AJ94" s="1"/>
      <c r="AK94" s="1">
        <v>1</v>
      </c>
      <c r="AL94" s="1">
        <f>(Tabella15[[#This Row],[ALL5]]+Tabella15[[#This Row],[ALL6]]+Tabella15[[#This Row],[ALL22]]+Tabella15[[#This Row],[ALL32]]+Tabella15[[#This Row],[ALL7]]+Tabella15[[#This Row],[ALL8]])*Tabella15[[#This Row],[Citazioni distinte]]</f>
        <v>2</v>
      </c>
      <c r="AM94" s="1">
        <f>(Tabella15[[#This Row],[ALL5]]+Tabella15[[#This Row],[ALL6]]+Tabella15[[#This Row],[ALL22]]+Tabella15[[#This Row],[ALL32]]+Tabella15[[#This Row],[ALL7]]+Tabella15[[#This Row],[ALL8]])*Tabella15[[#This Row],[PUNTO]]</f>
        <v>8</v>
      </c>
      <c r="AN94" s="6" t="s">
        <v>73</v>
      </c>
      <c r="AO94" s="1">
        <v>26</v>
      </c>
      <c r="AP94" s="1" t="s">
        <v>102</v>
      </c>
      <c r="AQ94" s="1" t="s">
        <v>102</v>
      </c>
      <c r="AR94" s="1" t="s">
        <v>102</v>
      </c>
      <c r="AS94" s="1" t="s">
        <v>102</v>
      </c>
      <c r="AT94" s="1" t="s">
        <v>77</v>
      </c>
      <c r="AU94" s="1" t="s">
        <v>77</v>
      </c>
      <c r="AV94" t="s">
        <v>952</v>
      </c>
      <c r="AW94">
        <v>2024</v>
      </c>
      <c r="AX94" t="s">
        <v>953</v>
      </c>
      <c r="AY94" t="s">
        <v>954</v>
      </c>
      <c r="AZ94" t="s">
        <v>955</v>
      </c>
      <c r="BB94" t="s">
        <v>956</v>
      </c>
      <c r="BE94" t="s">
        <v>85</v>
      </c>
      <c r="BF94" t="s">
        <v>958</v>
      </c>
      <c r="BG94" t="s">
        <v>959</v>
      </c>
      <c r="BH94" t="s">
        <v>960</v>
      </c>
      <c r="BI94" t="s">
        <v>957</v>
      </c>
      <c r="BJ94" s="1">
        <v>1</v>
      </c>
      <c r="BK94" s="1">
        <v>0</v>
      </c>
      <c r="BL94" s="1">
        <v>1</v>
      </c>
      <c r="BM94" s="1">
        <v>0</v>
      </c>
      <c r="BN94" s="1">
        <v>1</v>
      </c>
      <c r="BO94"/>
    </row>
    <row r="95" spans="1:67" x14ac:dyDescent="0.55000000000000004">
      <c r="A95" t="s">
        <v>805</v>
      </c>
      <c r="B95" t="s">
        <v>206</v>
      </c>
      <c r="C95" t="s">
        <v>69</v>
      </c>
      <c r="D95" t="s">
        <v>85</v>
      </c>
      <c r="E95" t="s">
        <v>102</v>
      </c>
      <c r="F95" s="4">
        <v>150</v>
      </c>
      <c r="G95" t="s">
        <v>961</v>
      </c>
      <c r="H9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2.3200000000000003</v>
      </c>
      <c r="I95" s="1">
        <f>(Tabella15[[#This Row],[ALL5]]+Tabella15[[#This Row],[ALL6]]+Tabella15[[#This Row],[ALL22]]+Tabella15[[#This Row],[ALL32]]+Tabella15[[#This Row],[ALL7]]+Tabella15[[#This Row],[ALL8]])</f>
        <v>1</v>
      </c>
      <c r="J95"/>
      <c r="M95" s="21">
        <f>Tabella15[[#This Row],[IOT SPECFIC]]+Tabella15[[#This Row],[MBSE]]+Tabella15[[#This Row],[NEW MODEL]]</f>
        <v>0</v>
      </c>
      <c r="N95" s="21">
        <f>IF(Tabella15[[#This Row],[ALL]]&gt;0,1,0)</f>
        <v>0</v>
      </c>
      <c r="O95" s="1">
        <v>2</v>
      </c>
      <c r="P95" s="21">
        <f>IF(Tabella15[[#This Row],[DEPLOYMENT]]&gt;0,1,0)</f>
        <v>1</v>
      </c>
      <c r="Q95" s="1"/>
      <c r="R95" s="1"/>
      <c r="S95" s="1"/>
      <c r="T95" s="21">
        <f>Tabella15[[#This Row],[issues]]+Tabella15[[#This Row],[High Level]]+Tabella15[[#This Row],[ORCHESTRATION]]</f>
        <v>0</v>
      </c>
      <c r="U95" s="21">
        <f>IF(Tabella15[[#This Row],[ALL2]]&gt;0,1,0)</f>
        <v>0</v>
      </c>
      <c r="V95" s="1"/>
      <c r="W95" s="1"/>
      <c r="X95" s="1"/>
      <c r="Y95" s="21">
        <f>Tabella15[[#This Row],[Logginh]]+Tabella15[[#This Row],[Monitoring]]+Tabella15[[#This Row],[Performance]]</f>
        <v>0</v>
      </c>
      <c r="Z95" s="21">
        <f>IF(Tabella15[[#This Row],[ALL3]]&gt;0,1,0)</f>
        <v>0</v>
      </c>
      <c r="AA95" s="1"/>
      <c r="AB95" s="21">
        <f>IF(Tabella15[[#This Row],[TESTING]]&gt;0,1,0)</f>
        <v>0</v>
      </c>
      <c r="AC95" s="1"/>
      <c r="AD95" s="1"/>
      <c r="AE95" s="1"/>
      <c r="AF95" s="1"/>
      <c r="AG95" s="1"/>
      <c r="AH95" s="21">
        <f>Tabella15[[#This Row],[PRIVACY]]+Tabella15[[#This Row],[MATURITY MODEL]]+Tabella15[[#This Row],[ADDITIONAL]]+Tabella15[[#This Row],[DEVSECOPS]]+Tabella15[[#This Row],[SECURITY]]</f>
        <v>0</v>
      </c>
      <c r="AI95" s="21">
        <f>IF(Tabella15[[#This Row],[ALL4]]&gt;0,1,0)</f>
        <v>0</v>
      </c>
      <c r="AJ95" s="1"/>
      <c r="AK95" s="1">
        <v>0</v>
      </c>
      <c r="AL95" s="1">
        <f>(Tabella15[[#This Row],[ALL5]]+Tabella15[[#This Row],[ALL6]]+Tabella15[[#This Row],[ALL22]]+Tabella15[[#This Row],[ALL32]]+Tabella15[[#This Row],[ALL7]]+Tabella15[[#This Row],[ALL8]])*Tabella15[[#This Row],[Citazioni distinte]]</f>
        <v>0</v>
      </c>
      <c r="AM95" s="1">
        <f>(Tabella15[[#This Row],[ALL5]]+Tabella15[[#This Row],[ALL6]]+Tabella15[[#This Row],[ALL22]]+Tabella15[[#This Row],[ALL32]]+Tabella15[[#This Row],[ALL7]]+Tabella15[[#This Row],[ALL8]])*Tabella15[[#This Row],[PUNTO]]</f>
        <v>2.3200000000000003</v>
      </c>
      <c r="AN95" s="6" t="s">
        <v>102</v>
      </c>
      <c r="AO95" s="1">
        <v>6</v>
      </c>
      <c r="AP95" s="1" t="s">
        <v>102</v>
      </c>
      <c r="AQ95" s="1" t="s">
        <v>74</v>
      </c>
      <c r="AR95" s="1" t="s">
        <v>74</v>
      </c>
      <c r="AS95" s="1" t="s">
        <v>327</v>
      </c>
      <c r="AT95" s="1" t="s">
        <v>77</v>
      </c>
      <c r="AU95" s="1" t="s">
        <v>77</v>
      </c>
      <c r="AV95" t="s">
        <v>962</v>
      </c>
      <c r="AW95">
        <v>2026</v>
      </c>
      <c r="AX95" t="s">
        <v>963</v>
      </c>
      <c r="AY95" s="2" t="s">
        <v>964</v>
      </c>
      <c r="AZ95" t="s">
        <v>965</v>
      </c>
      <c r="BA95" t="s">
        <v>966</v>
      </c>
      <c r="BC95" t="s">
        <v>967</v>
      </c>
      <c r="BD95" t="s">
        <v>60</v>
      </c>
      <c r="BE95" t="s">
        <v>85</v>
      </c>
      <c r="BF95" t="s">
        <v>969</v>
      </c>
      <c r="BG95" t="s">
        <v>970</v>
      </c>
      <c r="BH95" t="s">
        <v>88</v>
      </c>
      <c r="BI95" t="s">
        <v>968</v>
      </c>
      <c r="BJ95" s="1">
        <v>0</v>
      </c>
      <c r="BK95" s="1">
        <v>0</v>
      </c>
      <c r="BL95" s="1">
        <v>0</v>
      </c>
      <c r="BM95" s="1">
        <v>0</v>
      </c>
      <c r="BN95" s="1">
        <v>0</v>
      </c>
      <c r="BO95"/>
    </row>
    <row r="96" spans="1:67" x14ac:dyDescent="0.55000000000000004">
      <c r="A96" t="s">
        <v>725</v>
      </c>
      <c r="B96" t="s">
        <v>122</v>
      </c>
      <c r="C96" t="s">
        <v>123</v>
      </c>
      <c r="D96" t="s">
        <v>256</v>
      </c>
      <c r="E96" t="s">
        <v>73</v>
      </c>
      <c r="F96" s="4">
        <v>153</v>
      </c>
      <c r="G96" t="s">
        <v>971</v>
      </c>
      <c r="H9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96" s="1">
        <f>(Tabella15[[#This Row],[ALL5]]+Tabella15[[#This Row],[ALL6]]+Tabella15[[#This Row],[ALL22]]+Tabella15[[#This Row],[ALL32]]+Tabella15[[#This Row],[ALL7]]+Tabella15[[#This Row],[ALL8]])</f>
        <v>1</v>
      </c>
      <c r="J96"/>
      <c r="M96" s="21">
        <f>Tabella15[[#This Row],[IOT SPECFIC]]+Tabella15[[#This Row],[MBSE]]+Tabella15[[#This Row],[NEW MODEL]]</f>
        <v>0</v>
      </c>
      <c r="N96" s="21">
        <f>IF(Tabella15[[#This Row],[ALL]]&gt;0,1,0)</f>
        <v>0</v>
      </c>
      <c r="O96" s="1"/>
      <c r="P96" s="21">
        <f>IF(Tabella15[[#This Row],[DEPLOYMENT]]&gt;0,1,0)</f>
        <v>0</v>
      </c>
      <c r="Q96"/>
      <c r="T96" s="21">
        <f>Tabella15[[#This Row],[issues]]+Tabella15[[#This Row],[High Level]]+Tabella15[[#This Row],[ORCHESTRATION]]</f>
        <v>0</v>
      </c>
      <c r="U96" s="21">
        <f>IF(Tabella15[[#This Row],[ALL2]]&gt;0,1,0)</f>
        <v>0</v>
      </c>
      <c r="V96"/>
      <c r="Y96" s="21">
        <f>Tabella15[[#This Row],[Logginh]]+Tabella15[[#This Row],[Monitoring]]+Tabella15[[#This Row],[Performance]]</f>
        <v>0</v>
      </c>
      <c r="Z96" s="21">
        <f>IF(Tabella15[[#This Row],[ALL3]]&gt;0,1,0)</f>
        <v>0</v>
      </c>
      <c r="AA96" s="1"/>
      <c r="AB96" s="21">
        <f>IF(Tabella15[[#This Row],[TESTING]]&gt;0,1,0)</f>
        <v>0</v>
      </c>
      <c r="AC96"/>
      <c r="AE96">
        <v>1</v>
      </c>
      <c r="AH96" s="21">
        <f>Tabella15[[#This Row],[PRIVACY]]+Tabella15[[#This Row],[MATURITY MODEL]]+Tabella15[[#This Row],[ADDITIONAL]]+Tabella15[[#This Row],[DEVSECOPS]]+Tabella15[[#This Row],[SECURITY]]</f>
        <v>1</v>
      </c>
      <c r="AI96" s="21">
        <f>IF(Tabella15[[#This Row],[ALL4]]&gt;0,1,0)</f>
        <v>1</v>
      </c>
      <c r="AJ96" s="1"/>
      <c r="AK96" s="1">
        <v>7</v>
      </c>
      <c r="AL96" s="1">
        <f>(Tabella15[[#This Row],[ALL5]]+Tabella15[[#This Row],[ALL6]]+Tabella15[[#This Row],[ALL22]]+Tabella15[[#This Row],[ALL32]]+Tabella15[[#This Row],[ALL7]]+Tabella15[[#This Row],[ALL8]])*Tabella15[[#This Row],[Citazioni distinte]]</f>
        <v>7</v>
      </c>
      <c r="AM96" s="1">
        <f>(Tabella15[[#This Row],[ALL5]]+Tabella15[[#This Row],[ALL6]]+Tabella15[[#This Row],[ALL22]]+Tabella15[[#This Row],[ALL32]]+Tabella15[[#This Row],[ALL7]]+Tabella15[[#This Row],[ALL8]])*Tabella15[[#This Row],[PUNTO]]</f>
        <v>3.66</v>
      </c>
      <c r="AN96" s="6" t="s">
        <v>71</v>
      </c>
      <c r="AO96" s="1">
        <v>30</v>
      </c>
      <c r="AP96" s="1" t="s">
        <v>102</v>
      </c>
      <c r="AQ96" s="1" t="s">
        <v>102</v>
      </c>
      <c r="AR96" s="1" t="s">
        <v>102</v>
      </c>
      <c r="AS96" s="1" t="s">
        <v>74</v>
      </c>
      <c r="AT96" s="1" t="s">
        <v>77</v>
      </c>
      <c r="AU96" s="1" t="s">
        <v>77</v>
      </c>
      <c r="AV96" t="s">
        <v>972</v>
      </c>
      <c r="AW96">
        <v>2022</v>
      </c>
      <c r="AX96" t="s">
        <v>973</v>
      </c>
      <c r="AY96" t="s">
        <v>974</v>
      </c>
      <c r="AZ96" t="s">
        <v>975</v>
      </c>
      <c r="BB96" t="s">
        <v>976</v>
      </c>
      <c r="BE96" t="s">
        <v>256</v>
      </c>
      <c r="BF96" t="s">
        <v>978</v>
      </c>
      <c r="BG96" t="s">
        <v>979</v>
      </c>
      <c r="BH96" t="s">
        <v>980</v>
      </c>
      <c r="BI96" t="s">
        <v>977</v>
      </c>
      <c r="BJ96" s="1">
        <v>7</v>
      </c>
      <c r="BK96" s="1">
        <v>0</v>
      </c>
      <c r="BL96" s="1">
        <v>5</v>
      </c>
      <c r="BM96" s="1">
        <v>0</v>
      </c>
      <c r="BN96" s="1">
        <v>7</v>
      </c>
      <c r="BO96"/>
    </row>
    <row r="97" spans="1:67" x14ac:dyDescent="0.55000000000000004">
      <c r="A97" t="s">
        <v>745</v>
      </c>
      <c r="B97" t="s">
        <v>206</v>
      </c>
      <c r="C97" t="s">
        <v>69</v>
      </c>
      <c r="D97" t="s">
        <v>85</v>
      </c>
      <c r="E97" t="s">
        <v>73</v>
      </c>
      <c r="F97" s="4">
        <v>161</v>
      </c>
      <c r="G97" t="s">
        <v>981</v>
      </c>
      <c r="H9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1.6500000000000001</v>
      </c>
      <c r="I97" s="1">
        <f>(Tabella15[[#This Row],[ALL5]]+Tabella15[[#This Row],[ALL6]]+Tabella15[[#This Row],[ALL22]]+Tabella15[[#This Row],[ALL32]]+Tabella15[[#This Row],[ALL7]]+Tabella15[[#This Row],[ALL8]])</f>
        <v>2</v>
      </c>
      <c r="J97"/>
      <c r="M97" s="21">
        <f>Tabella15[[#This Row],[IOT SPECFIC]]+Tabella15[[#This Row],[MBSE]]+Tabella15[[#This Row],[NEW MODEL]]</f>
        <v>0</v>
      </c>
      <c r="N97" s="21">
        <f>IF(Tabella15[[#This Row],[ALL]]&gt;0,1,0)</f>
        <v>0</v>
      </c>
      <c r="O97" s="1">
        <v>2</v>
      </c>
      <c r="P97" s="21">
        <f>IF(Tabella15[[#This Row],[DEPLOYMENT]]&gt;0,1,0)</f>
        <v>1</v>
      </c>
      <c r="Q97"/>
      <c r="T97" s="21">
        <f>Tabella15[[#This Row],[issues]]+Tabella15[[#This Row],[High Level]]+Tabella15[[#This Row],[ORCHESTRATION]]</f>
        <v>0</v>
      </c>
      <c r="U97" s="21">
        <f>IF(Tabella15[[#This Row],[ALL2]]&gt;0,1,0)</f>
        <v>0</v>
      </c>
      <c r="V97"/>
      <c r="W97">
        <v>1</v>
      </c>
      <c r="Y97" s="21">
        <f>Tabella15[[#This Row],[Logginh]]+Tabella15[[#This Row],[Monitoring]]+Tabella15[[#This Row],[Performance]]</f>
        <v>1</v>
      </c>
      <c r="Z97" s="21">
        <f>IF(Tabella15[[#This Row],[ALL3]]&gt;0,1,0)</f>
        <v>1</v>
      </c>
      <c r="AA97" s="1"/>
      <c r="AB97" s="21">
        <f>IF(Tabella15[[#This Row],[TESTING]]&gt;0,1,0)</f>
        <v>0</v>
      </c>
      <c r="AC97"/>
      <c r="AH97" s="21">
        <f>Tabella15[[#This Row],[PRIVACY]]+Tabella15[[#This Row],[MATURITY MODEL]]+Tabella15[[#This Row],[ADDITIONAL]]+Tabella15[[#This Row],[DEVSECOPS]]+Tabella15[[#This Row],[SECURITY]]</f>
        <v>0</v>
      </c>
      <c r="AI97" s="21">
        <f>IF(Tabella15[[#This Row],[ALL4]]&gt;0,1,0)</f>
        <v>0</v>
      </c>
      <c r="AJ97" s="1"/>
      <c r="AK97" s="1">
        <v>1</v>
      </c>
      <c r="AL97" s="1">
        <f>(Tabella15[[#This Row],[ALL5]]+Tabella15[[#This Row],[ALL6]]+Tabella15[[#This Row],[ALL22]]+Tabella15[[#This Row],[ALL32]]+Tabella15[[#This Row],[ALL7]]+Tabella15[[#This Row],[ALL8]])*Tabella15[[#This Row],[Citazioni distinte]]</f>
        <v>2</v>
      </c>
      <c r="AM97" s="1">
        <f>(Tabella15[[#This Row],[ALL5]]+Tabella15[[#This Row],[ALL6]]+Tabella15[[#This Row],[ALL22]]+Tabella15[[#This Row],[ALL32]]+Tabella15[[#This Row],[ALL7]]+Tabella15[[#This Row],[ALL8]])*Tabella15[[#This Row],[PUNTO]]</f>
        <v>3.3000000000000003</v>
      </c>
      <c r="AN97" s="6" t="s">
        <v>102</v>
      </c>
      <c r="AO97" s="1">
        <v>6</v>
      </c>
      <c r="AP97" s="1" t="s">
        <v>74</v>
      </c>
      <c r="AQ97" s="1" t="s">
        <v>75</v>
      </c>
      <c r="AR97" s="1" t="s">
        <v>75</v>
      </c>
      <c r="AS97" s="1" t="s">
        <v>75</v>
      </c>
      <c r="AT97" s="1" t="s">
        <v>76</v>
      </c>
      <c r="AU97" s="1" t="s">
        <v>77</v>
      </c>
      <c r="AV97" t="s">
        <v>982</v>
      </c>
      <c r="AW97">
        <v>2025</v>
      </c>
      <c r="AX97" t="s">
        <v>983</v>
      </c>
      <c r="AY97" s="2" t="s">
        <v>984</v>
      </c>
      <c r="AZ97" t="s">
        <v>985</v>
      </c>
      <c r="BA97" t="s">
        <v>986</v>
      </c>
      <c r="BC97" t="s">
        <v>987</v>
      </c>
      <c r="BD97" t="s">
        <v>60</v>
      </c>
      <c r="BE97" t="s">
        <v>85</v>
      </c>
      <c r="BF97" t="s">
        <v>989</v>
      </c>
      <c r="BG97" t="s">
        <v>743</v>
      </c>
      <c r="BH97" t="s">
        <v>990</v>
      </c>
      <c r="BI97" t="s">
        <v>988</v>
      </c>
      <c r="BJ97" s="1">
        <v>0</v>
      </c>
      <c r="BK97" s="1">
        <v>1</v>
      </c>
      <c r="BL97" s="1">
        <v>0</v>
      </c>
      <c r="BM97" s="1">
        <v>0</v>
      </c>
      <c r="BN97" s="1">
        <v>1</v>
      </c>
      <c r="BO97"/>
    </row>
    <row r="98" spans="1:67" x14ac:dyDescent="0.55000000000000004">
      <c r="A98" t="s">
        <v>745</v>
      </c>
      <c r="B98" t="s">
        <v>206</v>
      </c>
      <c r="C98" t="s">
        <v>69</v>
      </c>
      <c r="D98" t="s">
        <v>131</v>
      </c>
      <c r="E98" t="s">
        <v>73</v>
      </c>
      <c r="F98" s="4">
        <v>162</v>
      </c>
      <c r="G98" t="s">
        <v>991</v>
      </c>
      <c r="H9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v>
      </c>
      <c r="I98" s="1">
        <f>(Tabella15[[#This Row],[ALL5]]+Tabella15[[#This Row],[ALL6]]+Tabella15[[#This Row],[ALL22]]+Tabella15[[#This Row],[ALL32]]+Tabella15[[#This Row],[ALL7]]+Tabella15[[#This Row],[ALL8]])</f>
        <v>2</v>
      </c>
      <c r="J98"/>
      <c r="M98" s="21">
        <f>Tabella15[[#This Row],[IOT SPECFIC]]+Tabella15[[#This Row],[MBSE]]+Tabella15[[#This Row],[NEW MODEL]]</f>
        <v>0</v>
      </c>
      <c r="N98" s="21">
        <f>IF(Tabella15[[#This Row],[ALL]]&gt;0,1,0)</f>
        <v>0</v>
      </c>
      <c r="O98" s="1">
        <v>3</v>
      </c>
      <c r="P98" s="21">
        <f>IF(Tabella15[[#This Row],[DEPLOYMENT]]&gt;0,1,0)</f>
        <v>1</v>
      </c>
      <c r="Q98">
        <v>1</v>
      </c>
      <c r="T98" s="21">
        <f>Tabella15[[#This Row],[issues]]+Tabella15[[#This Row],[High Level]]+Tabella15[[#This Row],[ORCHESTRATION]]</f>
        <v>1</v>
      </c>
      <c r="U98" s="21">
        <f>IF(Tabella15[[#This Row],[ALL2]]&gt;0,1,0)</f>
        <v>1</v>
      </c>
      <c r="V98"/>
      <c r="Y98" s="21">
        <f>Tabella15[[#This Row],[Logginh]]+Tabella15[[#This Row],[Monitoring]]+Tabella15[[#This Row],[Performance]]</f>
        <v>0</v>
      </c>
      <c r="Z98" s="21">
        <f>IF(Tabella15[[#This Row],[ALL3]]&gt;0,1,0)</f>
        <v>0</v>
      </c>
      <c r="AA98" s="1"/>
      <c r="AB98" s="21">
        <f>IF(Tabella15[[#This Row],[TESTING]]&gt;0,1,0)</f>
        <v>0</v>
      </c>
      <c r="AC98"/>
      <c r="AH98" s="21">
        <f>Tabella15[[#This Row],[PRIVACY]]+Tabella15[[#This Row],[MATURITY MODEL]]+Tabella15[[#This Row],[ADDITIONAL]]+Tabella15[[#This Row],[DEVSECOPS]]+Tabella15[[#This Row],[SECURITY]]</f>
        <v>0</v>
      </c>
      <c r="AI98" s="21">
        <f>IF(Tabella15[[#This Row],[ALL4]]&gt;0,1,0)</f>
        <v>0</v>
      </c>
      <c r="AJ98" s="1"/>
      <c r="AK98" s="1">
        <v>1</v>
      </c>
      <c r="AL98" s="1">
        <f>(Tabella15[[#This Row],[ALL5]]+Tabella15[[#This Row],[ALL6]]+Tabella15[[#This Row],[ALL22]]+Tabella15[[#This Row],[ALL32]]+Tabella15[[#This Row],[ALL7]]+Tabella15[[#This Row],[ALL8]])*Tabella15[[#This Row],[Citazioni distinte]]</f>
        <v>2</v>
      </c>
      <c r="AM98" s="1">
        <f>(Tabella15[[#This Row],[ALL5]]+Tabella15[[#This Row],[ALL6]]+Tabella15[[#This Row],[ALL22]]+Tabella15[[#This Row],[ALL32]]+Tabella15[[#This Row],[ALL7]]+Tabella15[[#This Row],[ALL8]])*Tabella15[[#This Row],[PUNTO]]</f>
        <v>3.96</v>
      </c>
      <c r="AN98" s="6" t="s">
        <v>73</v>
      </c>
      <c r="AO98" s="1">
        <v>5</v>
      </c>
      <c r="AP98" s="1" t="s">
        <v>74</v>
      </c>
      <c r="AQ98" s="1" t="s">
        <v>75</v>
      </c>
      <c r="AR98" s="1" t="s">
        <v>74</v>
      </c>
      <c r="AS98" s="1" t="s">
        <v>75</v>
      </c>
      <c r="AT98" s="1" t="s">
        <v>76</v>
      </c>
      <c r="AU98" s="1" t="s">
        <v>77</v>
      </c>
      <c r="AV98" t="s">
        <v>992</v>
      </c>
      <c r="AW98">
        <v>2024</v>
      </c>
      <c r="AX98" t="s">
        <v>993</v>
      </c>
      <c r="AY98" s="2" t="s">
        <v>994</v>
      </c>
      <c r="AZ98" t="s">
        <v>995</v>
      </c>
      <c r="BA98" t="s">
        <v>996</v>
      </c>
      <c r="BC98" t="s">
        <v>997</v>
      </c>
      <c r="BD98" t="s">
        <v>60</v>
      </c>
      <c r="BE98" t="s">
        <v>131</v>
      </c>
      <c r="BF98" t="s">
        <v>999</v>
      </c>
      <c r="BG98" t="s">
        <v>1000</v>
      </c>
      <c r="BH98" t="s">
        <v>298</v>
      </c>
      <c r="BI98" t="s">
        <v>998</v>
      </c>
      <c r="BJ98" s="1">
        <v>1</v>
      </c>
      <c r="BK98" s="1">
        <v>1</v>
      </c>
      <c r="BL98" s="1">
        <v>1</v>
      </c>
      <c r="BM98" s="1">
        <v>0</v>
      </c>
      <c r="BN98" s="1">
        <v>1</v>
      </c>
      <c r="BO98"/>
    </row>
    <row r="99" spans="1:67" x14ac:dyDescent="0.55000000000000004">
      <c r="A99" t="s">
        <v>745</v>
      </c>
      <c r="B99" t="s">
        <v>206</v>
      </c>
      <c r="C99" t="s">
        <v>69</v>
      </c>
      <c r="D99" t="s">
        <v>131</v>
      </c>
      <c r="E99" t="s">
        <v>73</v>
      </c>
      <c r="F99" s="4">
        <v>163</v>
      </c>
      <c r="G99" t="s">
        <v>1001</v>
      </c>
      <c r="H9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0.99</v>
      </c>
      <c r="I99" s="1">
        <f>(Tabella15[[#This Row],[ALL5]]+Tabella15[[#This Row],[ALL6]]+Tabella15[[#This Row],[ALL22]]+Tabella15[[#This Row],[ALL32]]+Tabella15[[#This Row],[ALL7]]+Tabella15[[#This Row],[ALL8]])</f>
        <v>1</v>
      </c>
      <c r="J99"/>
      <c r="M99" s="21">
        <f>Tabella15[[#This Row],[IOT SPECFIC]]+Tabella15[[#This Row],[MBSE]]+Tabella15[[#This Row],[NEW MODEL]]</f>
        <v>0</v>
      </c>
      <c r="N99" s="21">
        <f>IF(Tabella15[[#This Row],[ALL]]&gt;0,1,0)</f>
        <v>0</v>
      </c>
      <c r="O99" s="1"/>
      <c r="P99" s="21">
        <f>IF(Tabella15[[#This Row],[DEPLOYMENT]]&gt;0,1,0)</f>
        <v>0</v>
      </c>
      <c r="Q99">
        <v>1</v>
      </c>
      <c r="T99" s="21">
        <f>Tabella15[[#This Row],[issues]]+Tabella15[[#This Row],[High Level]]+Tabella15[[#This Row],[ORCHESTRATION]]</f>
        <v>1</v>
      </c>
      <c r="U99" s="21">
        <f>IF(Tabella15[[#This Row],[ALL2]]&gt;0,1,0)</f>
        <v>1</v>
      </c>
      <c r="V99"/>
      <c r="Y99" s="21">
        <f>Tabella15[[#This Row],[Logginh]]+Tabella15[[#This Row],[Monitoring]]+Tabella15[[#This Row],[Performance]]</f>
        <v>0</v>
      </c>
      <c r="Z99" s="21">
        <f>IF(Tabella15[[#This Row],[ALL3]]&gt;0,1,0)</f>
        <v>0</v>
      </c>
      <c r="AA99" s="1"/>
      <c r="AB99" s="21">
        <f>IF(Tabella15[[#This Row],[TESTING]]&gt;0,1,0)</f>
        <v>0</v>
      </c>
      <c r="AC99"/>
      <c r="AH99" s="21">
        <f>Tabella15[[#This Row],[PRIVACY]]+Tabella15[[#This Row],[MATURITY MODEL]]+Tabella15[[#This Row],[ADDITIONAL]]+Tabella15[[#This Row],[DEVSECOPS]]+Tabella15[[#This Row],[SECURITY]]</f>
        <v>0</v>
      </c>
      <c r="AI99" s="21">
        <f>IF(Tabella15[[#This Row],[ALL4]]&gt;0,1,0)</f>
        <v>0</v>
      </c>
      <c r="AJ99" s="1"/>
      <c r="AK99" s="1">
        <v>0</v>
      </c>
      <c r="AL99" s="1">
        <f>(Tabella15[[#This Row],[ALL5]]+Tabella15[[#This Row],[ALL6]]+Tabella15[[#This Row],[ALL22]]+Tabella15[[#This Row],[ALL32]]+Tabella15[[#This Row],[ALL7]]+Tabella15[[#This Row],[ALL8]])*Tabella15[[#This Row],[Citazioni distinte]]</f>
        <v>0</v>
      </c>
      <c r="AM99" s="1">
        <f>(Tabella15[[#This Row],[ALL5]]+Tabella15[[#This Row],[ALL6]]+Tabella15[[#This Row],[ALL22]]+Tabella15[[#This Row],[ALL32]]+Tabella15[[#This Row],[ALL7]]+Tabella15[[#This Row],[ALL8]])*Tabella15[[#This Row],[PUNTO]]</f>
        <v>0.99</v>
      </c>
      <c r="AN99" s="6" t="s">
        <v>102</v>
      </c>
      <c r="AO99" s="1">
        <v>6</v>
      </c>
      <c r="AP99" s="1" t="s">
        <v>75</v>
      </c>
      <c r="AQ99" s="1" t="s">
        <v>75</v>
      </c>
      <c r="AR99" s="1" t="s">
        <v>75</v>
      </c>
      <c r="AS99" s="1" t="s">
        <v>327</v>
      </c>
      <c r="AT99" s="1" t="s">
        <v>76</v>
      </c>
      <c r="AU99" s="1" t="s">
        <v>77</v>
      </c>
      <c r="AV99" t="s">
        <v>1002</v>
      </c>
      <c r="AW99">
        <v>2025</v>
      </c>
      <c r="AX99" t="s">
        <v>1003</v>
      </c>
      <c r="AY99" s="2" t="s">
        <v>1004</v>
      </c>
      <c r="AZ99" t="s">
        <v>1005</v>
      </c>
      <c r="BA99" t="s">
        <v>1006</v>
      </c>
      <c r="BC99" t="s">
        <v>1007</v>
      </c>
      <c r="BD99" t="s">
        <v>60</v>
      </c>
      <c r="BE99" t="s">
        <v>131</v>
      </c>
      <c r="BF99" t="s">
        <v>1009</v>
      </c>
      <c r="BG99" t="s">
        <v>1010</v>
      </c>
      <c r="BH99" t="s">
        <v>1011</v>
      </c>
      <c r="BI99" t="s">
        <v>1008</v>
      </c>
      <c r="BJ99" s="1">
        <v>0</v>
      </c>
      <c r="BK99" s="1">
        <v>0</v>
      </c>
      <c r="BL99" s="1">
        <v>0</v>
      </c>
      <c r="BM99" s="1">
        <v>0</v>
      </c>
      <c r="BN99" s="1">
        <v>0</v>
      </c>
      <c r="BO99"/>
    </row>
    <row r="100" spans="1:67" x14ac:dyDescent="0.55000000000000004">
      <c r="A100" t="s">
        <v>1012</v>
      </c>
      <c r="B100" t="s">
        <v>1013</v>
      </c>
      <c r="C100" t="s">
        <v>69</v>
      </c>
      <c r="D100" t="s">
        <v>131</v>
      </c>
      <c r="E100" t="s">
        <v>73</v>
      </c>
      <c r="F100" s="4">
        <v>167</v>
      </c>
      <c r="G100" t="s">
        <v>1014</v>
      </c>
      <c r="H10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3.66</v>
      </c>
      <c r="I100" s="1">
        <f>(Tabella15[[#This Row],[ALL5]]+Tabella15[[#This Row],[ALL6]]+Tabella15[[#This Row],[ALL22]]+Tabella15[[#This Row],[ALL32]]+Tabella15[[#This Row],[ALL7]]+Tabella15[[#This Row],[ALL8]])</f>
        <v>1</v>
      </c>
      <c r="J100"/>
      <c r="L100">
        <v>1</v>
      </c>
      <c r="M100" s="21">
        <f>Tabella15[[#This Row],[IOT SPECFIC]]+Tabella15[[#This Row],[MBSE]]+Tabella15[[#This Row],[NEW MODEL]]</f>
        <v>1</v>
      </c>
      <c r="N100" s="21">
        <f>IF(Tabella15[[#This Row],[ALL]]&gt;0,1,0)</f>
        <v>1</v>
      </c>
      <c r="O100" s="1"/>
      <c r="P100" s="21">
        <f>IF(Tabella15[[#This Row],[DEPLOYMENT]]&gt;0,1,0)</f>
        <v>0</v>
      </c>
      <c r="Q100"/>
      <c r="T100" s="21">
        <f>Tabella15[[#This Row],[issues]]+Tabella15[[#This Row],[High Level]]+Tabella15[[#This Row],[ORCHESTRATION]]</f>
        <v>0</v>
      </c>
      <c r="U100" s="21">
        <f>IF(Tabella15[[#This Row],[ALL2]]&gt;0,1,0)</f>
        <v>0</v>
      </c>
      <c r="V100"/>
      <c r="Y100" s="21">
        <f>Tabella15[[#This Row],[Logginh]]+Tabella15[[#This Row],[Monitoring]]+Tabella15[[#This Row],[Performance]]</f>
        <v>0</v>
      </c>
      <c r="Z100" s="21">
        <f>IF(Tabella15[[#This Row],[ALL3]]&gt;0,1,0)</f>
        <v>0</v>
      </c>
      <c r="AA100" s="1"/>
      <c r="AB100" s="21">
        <f>IF(Tabella15[[#This Row],[TESTING]]&gt;0,1,0)</f>
        <v>0</v>
      </c>
      <c r="AC100"/>
      <c r="AH100" s="21">
        <f>Tabella15[[#This Row],[PRIVACY]]+Tabella15[[#This Row],[MATURITY MODEL]]+Tabella15[[#This Row],[ADDITIONAL]]+Tabella15[[#This Row],[DEVSECOPS]]+Tabella15[[#This Row],[SECURITY]]</f>
        <v>0</v>
      </c>
      <c r="AI100" s="21">
        <f>IF(Tabella15[[#This Row],[ALL4]]&gt;0,1,0)</f>
        <v>0</v>
      </c>
      <c r="AJ100" s="1"/>
      <c r="AK100" s="1">
        <v>24</v>
      </c>
      <c r="AL100" s="1">
        <f>(Tabella15[[#This Row],[ALL5]]+Tabella15[[#This Row],[ALL6]]+Tabella15[[#This Row],[ALL22]]+Tabella15[[#This Row],[ALL32]]+Tabella15[[#This Row],[ALL7]]+Tabella15[[#This Row],[ALL8]])*Tabella15[[#This Row],[Citazioni distinte]]</f>
        <v>24</v>
      </c>
      <c r="AM100" s="1">
        <f>(Tabella15[[#This Row],[ALL5]]+Tabella15[[#This Row],[ALL6]]+Tabella15[[#This Row],[ALL22]]+Tabella15[[#This Row],[ALL32]]+Tabella15[[#This Row],[ALL7]]+Tabella15[[#This Row],[ALL8]])*Tabella15[[#This Row],[PUNTO]]</f>
        <v>3.66</v>
      </c>
      <c r="AN100" s="6" t="s">
        <v>73</v>
      </c>
      <c r="AO100" s="1">
        <v>11</v>
      </c>
      <c r="AP100" s="1" t="s">
        <v>102</v>
      </c>
      <c r="AQ100" s="1" t="s">
        <v>102</v>
      </c>
      <c r="AR100" s="1" t="s">
        <v>102</v>
      </c>
      <c r="AS100" s="1" t="s">
        <v>74</v>
      </c>
      <c r="AT100" s="1" t="s">
        <v>77</v>
      </c>
      <c r="AU100" s="1" t="s">
        <v>77</v>
      </c>
      <c r="AV100" t="s">
        <v>1015</v>
      </c>
      <c r="AW100">
        <v>2020</v>
      </c>
      <c r="AX100" t="s">
        <v>1016</v>
      </c>
      <c r="AY100" s="2" t="s">
        <v>1017</v>
      </c>
      <c r="AZ100" t="s">
        <v>1018</v>
      </c>
      <c r="BA100" t="s">
        <v>1019</v>
      </c>
      <c r="BC100" t="s">
        <v>1020</v>
      </c>
      <c r="BD100" t="s">
        <v>428</v>
      </c>
      <c r="BE100" t="s">
        <v>131</v>
      </c>
      <c r="BF100" t="s">
        <v>1022</v>
      </c>
      <c r="BG100" t="s">
        <v>1023</v>
      </c>
      <c r="BH100" t="s">
        <v>578</v>
      </c>
      <c r="BI100" t="s">
        <v>1021</v>
      </c>
      <c r="BJ100" s="1">
        <v>24</v>
      </c>
      <c r="BK100" s="1">
        <v>0</v>
      </c>
      <c r="BL100" s="1">
        <v>16</v>
      </c>
      <c r="BM100" s="1">
        <v>22</v>
      </c>
      <c r="BN100" s="1">
        <v>24</v>
      </c>
      <c r="BO100"/>
    </row>
    <row r="101" spans="1:67" x14ac:dyDescent="0.55000000000000004">
      <c r="A101" t="s">
        <v>805</v>
      </c>
      <c r="B101" t="s">
        <v>206</v>
      </c>
      <c r="C101" t="s">
        <v>69</v>
      </c>
      <c r="D101" t="s">
        <v>213</v>
      </c>
      <c r="E101" t="s">
        <v>71</v>
      </c>
      <c r="F101" s="4">
        <v>168</v>
      </c>
      <c r="G101" t="s">
        <v>1024</v>
      </c>
      <c r="H10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01" s="1">
        <f>(Tabella15[[#This Row],[ALL5]]+Tabella15[[#This Row],[ALL6]]+Tabella15[[#This Row],[ALL22]]+Tabella15[[#This Row],[ALL32]]+Tabella15[[#This Row],[ALL7]]+Tabella15[[#This Row],[ALL8]])</f>
        <v>1</v>
      </c>
      <c r="J101"/>
      <c r="M101" s="21">
        <f>Tabella15[[#This Row],[IOT SPECFIC]]+Tabella15[[#This Row],[MBSE]]+Tabella15[[#This Row],[NEW MODEL]]</f>
        <v>0</v>
      </c>
      <c r="N101" s="21">
        <f>IF(Tabella15[[#This Row],[ALL]]&gt;0,1,0)</f>
        <v>0</v>
      </c>
      <c r="O101" s="1">
        <v>3</v>
      </c>
      <c r="P101" s="21">
        <f>IF(Tabella15[[#This Row],[DEPLOYMENT]]&gt;0,1,0)</f>
        <v>1</v>
      </c>
      <c r="Q101"/>
      <c r="T101" s="21">
        <f>Tabella15[[#This Row],[issues]]+Tabella15[[#This Row],[High Level]]+Tabella15[[#This Row],[ORCHESTRATION]]</f>
        <v>0</v>
      </c>
      <c r="U101" s="21">
        <f>IF(Tabella15[[#This Row],[ALL2]]&gt;0,1,0)</f>
        <v>0</v>
      </c>
      <c r="V101"/>
      <c r="Y101" s="21">
        <f>Tabella15[[#This Row],[Logginh]]+Tabella15[[#This Row],[Monitoring]]+Tabella15[[#This Row],[Performance]]</f>
        <v>0</v>
      </c>
      <c r="Z101" s="21">
        <f>IF(Tabella15[[#This Row],[ALL3]]&gt;0,1,0)</f>
        <v>0</v>
      </c>
      <c r="AA101" s="1"/>
      <c r="AB101" s="21">
        <f>IF(Tabella15[[#This Row],[TESTING]]&gt;0,1,0)</f>
        <v>0</v>
      </c>
      <c r="AC101"/>
      <c r="AH101" s="21">
        <f>Tabella15[[#This Row],[PRIVACY]]+Tabella15[[#This Row],[MATURITY MODEL]]+Tabella15[[#This Row],[ADDITIONAL]]+Tabella15[[#This Row],[DEVSECOPS]]+Tabella15[[#This Row],[SECURITY]]</f>
        <v>0</v>
      </c>
      <c r="AI101" s="21">
        <f>IF(Tabella15[[#This Row],[ALL4]]&gt;0,1,0)</f>
        <v>0</v>
      </c>
      <c r="AJ101" s="1"/>
      <c r="AK101" s="1">
        <v>0</v>
      </c>
      <c r="AL101" s="1">
        <f>(Tabella15[[#This Row],[ALL5]]+Tabella15[[#This Row],[ALL6]]+Tabella15[[#This Row],[ALL22]]+Tabella15[[#This Row],[ALL32]]+Tabella15[[#This Row],[ALL7]]+Tabella15[[#This Row],[ALL8]])*Tabella15[[#This Row],[Citazioni distinte]]</f>
        <v>0</v>
      </c>
      <c r="AM101" s="1">
        <f>(Tabella15[[#This Row],[ALL5]]+Tabella15[[#This Row],[ALL6]]+Tabella15[[#This Row],[ALL22]]+Tabella15[[#This Row],[ALL32]]+Tabella15[[#This Row],[ALL7]]+Tabella15[[#This Row],[ALL8]])*Tabella15[[#This Row],[PUNTO]]</f>
        <v>1.32</v>
      </c>
      <c r="AN101" s="6" t="s">
        <v>73</v>
      </c>
      <c r="AO101" s="1">
        <v>6</v>
      </c>
      <c r="AP101" s="1" t="s">
        <v>75</v>
      </c>
      <c r="AQ101" s="1" t="s">
        <v>75</v>
      </c>
      <c r="AR101" s="1" t="s">
        <v>75</v>
      </c>
      <c r="AS101" s="1" t="s">
        <v>75</v>
      </c>
      <c r="AT101" s="1" t="s">
        <v>76</v>
      </c>
      <c r="AU101" s="1" t="s">
        <v>77</v>
      </c>
      <c r="AV101" t="s">
        <v>1025</v>
      </c>
      <c r="AW101">
        <v>2026</v>
      </c>
      <c r="AX101" t="s">
        <v>1026</v>
      </c>
      <c r="AY101" s="2" t="s">
        <v>1027</v>
      </c>
      <c r="AZ101" t="s">
        <v>1028</v>
      </c>
      <c r="BA101" t="s">
        <v>1029</v>
      </c>
      <c r="BC101" t="s">
        <v>1030</v>
      </c>
      <c r="BD101" t="s">
        <v>60</v>
      </c>
      <c r="BE101" t="s">
        <v>213</v>
      </c>
      <c r="BF101" t="s">
        <v>1032</v>
      </c>
      <c r="BG101" t="s">
        <v>1033</v>
      </c>
      <c r="BH101" t="s">
        <v>1034</v>
      </c>
      <c r="BI101" t="s">
        <v>1031</v>
      </c>
      <c r="BJ101" s="1">
        <v>0</v>
      </c>
      <c r="BK101" s="1">
        <v>0</v>
      </c>
      <c r="BL101" s="1">
        <v>0</v>
      </c>
      <c r="BM101" s="1">
        <v>0</v>
      </c>
      <c r="BN101" s="1">
        <v>0</v>
      </c>
      <c r="BO101"/>
    </row>
    <row r="102" spans="1:67" x14ac:dyDescent="0.55000000000000004">
      <c r="A102" t="s">
        <v>745</v>
      </c>
      <c r="B102" t="s">
        <v>206</v>
      </c>
      <c r="C102" t="s">
        <v>69</v>
      </c>
      <c r="D102" t="s">
        <v>85</v>
      </c>
      <c r="E102" t="s">
        <v>102</v>
      </c>
      <c r="F102" s="4">
        <v>172</v>
      </c>
      <c r="G102" t="s">
        <v>1035</v>
      </c>
      <c r="H10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102" s="1">
        <f>(Tabella15[[#This Row],[ALL5]]+Tabella15[[#This Row],[ALL6]]+Tabella15[[#This Row],[ALL22]]+Tabella15[[#This Row],[ALL32]]+Tabella15[[#This Row],[ALL7]]+Tabella15[[#This Row],[ALL8]])</f>
        <v>2</v>
      </c>
      <c r="J102"/>
      <c r="M102" s="21">
        <f>Tabella15[[#This Row],[IOT SPECFIC]]+Tabella15[[#This Row],[MBSE]]+Tabella15[[#This Row],[NEW MODEL]]</f>
        <v>0</v>
      </c>
      <c r="N102" s="21">
        <f>IF(Tabella15[[#This Row],[ALL]]&gt;0,1,0)</f>
        <v>0</v>
      </c>
      <c r="O102" s="1">
        <v>3</v>
      </c>
      <c r="P102" s="21">
        <f>IF(Tabella15[[#This Row],[DEPLOYMENT]]&gt;0,1,0)</f>
        <v>1</v>
      </c>
      <c r="Q102"/>
      <c r="T102" s="21">
        <f>Tabella15[[#This Row],[issues]]+Tabella15[[#This Row],[High Level]]+Tabella15[[#This Row],[ORCHESTRATION]]</f>
        <v>0</v>
      </c>
      <c r="U102" s="21">
        <f>IF(Tabella15[[#This Row],[ALL2]]&gt;0,1,0)</f>
        <v>0</v>
      </c>
      <c r="V102"/>
      <c r="W102">
        <v>1</v>
      </c>
      <c r="Y102" s="21">
        <f>Tabella15[[#This Row],[Logginh]]+Tabella15[[#This Row],[Monitoring]]+Tabella15[[#This Row],[Performance]]</f>
        <v>1</v>
      </c>
      <c r="Z102" s="21">
        <f>IF(Tabella15[[#This Row],[ALL3]]&gt;0,1,0)</f>
        <v>1</v>
      </c>
      <c r="AA102" s="1"/>
      <c r="AB102" s="21">
        <f>IF(Tabella15[[#This Row],[TESTING]]&gt;0,1,0)</f>
        <v>0</v>
      </c>
      <c r="AC102"/>
      <c r="AH102" s="21">
        <f>Tabella15[[#This Row],[PRIVACY]]+Tabella15[[#This Row],[MATURITY MODEL]]+Tabella15[[#This Row],[ADDITIONAL]]+Tabella15[[#This Row],[DEVSECOPS]]+Tabella15[[#This Row],[SECURITY]]</f>
        <v>0</v>
      </c>
      <c r="AI102" s="21">
        <f>IF(Tabella15[[#This Row],[ALL4]]&gt;0,1,0)</f>
        <v>0</v>
      </c>
      <c r="AJ102" s="1"/>
      <c r="AK102" s="1">
        <v>0</v>
      </c>
      <c r="AL102" s="1">
        <f>(Tabella15[[#This Row],[ALL5]]+Tabella15[[#This Row],[ALL6]]+Tabella15[[#This Row],[ALL22]]+Tabella15[[#This Row],[ALL32]]+Tabella15[[#This Row],[ALL7]]+Tabella15[[#This Row],[ALL8]])*Tabella15[[#This Row],[Citazioni distinte]]</f>
        <v>0</v>
      </c>
      <c r="AM102" s="1">
        <f>(Tabella15[[#This Row],[ALL5]]+Tabella15[[#This Row],[ALL6]]+Tabella15[[#This Row],[ALL22]]+Tabella15[[#This Row],[ALL32]]+Tabella15[[#This Row],[ALL7]]+Tabella15[[#This Row],[ALL8]])*Tabella15[[#This Row],[PUNTO]]</f>
        <v>4.62</v>
      </c>
      <c r="AN102" s="6" t="s">
        <v>102</v>
      </c>
      <c r="AO102" s="1">
        <v>6</v>
      </c>
      <c r="AP102" s="1" t="s">
        <v>74</v>
      </c>
      <c r="AQ102" s="1" t="s">
        <v>74</v>
      </c>
      <c r="AR102" s="1" t="s">
        <v>74</v>
      </c>
      <c r="AS102" s="1" t="s">
        <v>75</v>
      </c>
      <c r="AT102" s="1" t="s">
        <v>77</v>
      </c>
      <c r="AU102" s="1" t="s">
        <v>77</v>
      </c>
      <c r="AV102" t="s">
        <v>1036</v>
      </c>
      <c r="AW102">
        <v>2026</v>
      </c>
      <c r="AX102" t="s">
        <v>1037</v>
      </c>
      <c r="AY102" s="2" t="s">
        <v>1038</v>
      </c>
      <c r="AZ102" t="s">
        <v>1039</v>
      </c>
      <c r="BA102" t="s">
        <v>1040</v>
      </c>
      <c r="BC102" t="s">
        <v>1041</v>
      </c>
      <c r="BD102" t="s">
        <v>60</v>
      </c>
      <c r="BE102" t="s">
        <v>85</v>
      </c>
      <c r="BF102" t="s">
        <v>1043</v>
      </c>
      <c r="BG102" t="s">
        <v>1044</v>
      </c>
      <c r="BH102" t="s">
        <v>1045</v>
      </c>
      <c r="BI102" t="s">
        <v>1042</v>
      </c>
      <c r="BJ102" s="1">
        <v>0</v>
      </c>
      <c r="BK102" s="1">
        <v>0</v>
      </c>
      <c r="BL102" s="1">
        <v>0</v>
      </c>
      <c r="BM102" s="1">
        <v>0</v>
      </c>
      <c r="BN102" s="1">
        <v>0</v>
      </c>
      <c r="BO102"/>
    </row>
    <row r="103" spans="1:67" x14ac:dyDescent="0.55000000000000004">
      <c r="A103" t="s">
        <v>774</v>
      </c>
      <c r="B103" t="s">
        <v>206</v>
      </c>
      <c r="C103" t="s">
        <v>69</v>
      </c>
      <c r="D103" t="s">
        <v>256</v>
      </c>
      <c r="E103" t="s">
        <v>71</v>
      </c>
      <c r="F103" s="4">
        <v>173</v>
      </c>
      <c r="G103" t="s">
        <v>1046</v>
      </c>
      <c r="H10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2.64</v>
      </c>
      <c r="I103" s="1">
        <f>(Tabella15[[#This Row],[ALL5]]+Tabella15[[#This Row],[ALL6]]+Tabella15[[#This Row],[ALL22]]+Tabella15[[#This Row],[ALL32]]+Tabella15[[#This Row],[ALL7]]+Tabella15[[#This Row],[ALL8]])</f>
        <v>2</v>
      </c>
      <c r="J103"/>
      <c r="M103" s="21">
        <f>Tabella15[[#This Row],[IOT SPECFIC]]+Tabella15[[#This Row],[MBSE]]+Tabella15[[#This Row],[NEW MODEL]]</f>
        <v>0</v>
      </c>
      <c r="N103" s="21">
        <f>IF(Tabella15[[#This Row],[ALL]]&gt;0,1,0)</f>
        <v>0</v>
      </c>
      <c r="O103" s="1"/>
      <c r="P103" s="21">
        <f>IF(Tabella15[[#This Row],[DEPLOYMENT]]&gt;0,1,0)</f>
        <v>0</v>
      </c>
      <c r="Q103"/>
      <c r="T103" s="21">
        <f>Tabella15[[#This Row],[issues]]+Tabella15[[#This Row],[High Level]]+Tabella15[[#This Row],[ORCHESTRATION]]</f>
        <v>0</v>
      </c>
      <c r="U103" s="21">
        <f>IF(Tabella15[[#This Row],[ALL2]]&gt;0,1,0)</f>
        <v>0</v>
      </c>
      <c r="V103"/>
      <c r="Y103" s="21">
        <f>Tabella15[[#This Row],[Logginh]]+Tabella15[[#This Row],[Monitoring]]+Tabella15[[#This Row],[Performance]]</f>
        <v>0</v>
      </c>
      <c r="Z103" s="21">
        <f>IF(Tabella15[[#This Row],[ALL3]]&gt;0,1,0)</f>
        <v>0</v>
      </c>
      <c r="AA103" s="1">
        <v>1</v>
      </c>
      <c r="AB103" s="21">
        <f>IF(Tabella15[[#This Row],[TESTING]]&gt;0,1,0)</f>
        <v>1</v>
      </c>
      <c r="AC103"/>
      <c r="AD103">
        <v>1</v>
      </c>
      <c r="AH103" s="21">
        <f>Tabella15[[#This Row],[PRIVACY]]+Tabella15[[#This Row],[MATURITY MODEL]]+Tabella15[[#This Row],[ADDITIONAL]]+Tabella15[[#This Row],[DEVSECOPS]]+Tabella15[[#This Row],[SECURITY]]</f>
        <v>1</v>
      </c>
      <c r="AI103" s="21">
        <f>IF(Tabella15[[#This Row],[ALL4]]&gt;0,1,0)</f>
        <v>1</v>
      </c>
      <c r="AJ103" s="1"/>
      <c r="AK103" s="1">
        <v>0</v>
      </c>
      <c r="AL103" s="1">
        <f>(Tabella15[[#This Row],[ALL5]]+Tabella15[[#This Row],[ALL6]]+Tabella15[[#This Row],[ALL22]]+Tabella15[[#This Row],[ALL32]]+Tabella15[[#This Row],[ALL7]]+Tabella15[[#This Row],[ALL8]])*Tabella15[[#This Row],[Citazioni distinte]]</f>
        <v>0</v>
      </c>
      <c r="AM103" s="1">
        <f>(Tabella15[[#This Row],[ALL5]]+Tabella15[[#This Row],[ALL6]]+Tabella15[[#This Row],[ALL22]]+Tabella15[[#This Row],[ALL32]]+Tabella15[[#This Row],[ALL7]]+Tabella15[[#This Row],[ALL8]])*Tabella15[[#This Row],[PUNTO]]</f>
        <v>5.28</v>
      </c>
      <c r="AN103" s="6" t="s">
        <v>73</v>
      </c>
      <c r="AO103" s="1">
        <v>5</v>
      </c>
      <c r="AP103" s="1" t="s">
        <v>74</v>
      </c>
      <c r="AQ103" s="1" t="s">
        <v>74</v>
      </c>
      <c r="AR103" s="1" t="s">
        <v>74</v>
      </c>
      <c r="AS103" s="1" t="s">
        <v>74</v>
      </c>
      <c r="AT103" s="1" t="s">
        <v>77</v>
      </c>
      <c r="AU103" s="1" t="s">
        <v>77</v>
      </c>
      <c r="AV103" t="s">
        <v>1047</v>
      </c>
      <c r="AW103">
        <v>2023</v>
      </c>
      <c r="AX103" t="s">
        <v>1048</v>
      </c>
      <c r="AY103" s="2" t="s">
        <v>1049</v>
      </c>
      <c r="AZ103" t="s">
        <v>1050</v>
      </c>
      <c r="BA103" t="s">
        <v>1051</v>
      </c>
      <c r="BC103" t="s">
        <v>1052</v>
      </c>
      <c r="BD103" t="s">
        <v>60</v>
      </c>
      <c r="BE103" t="s">
        <v>256</v>
      </c>
      <c r="BF103" t="s">
        <v>1054</v>
      </c>
      <c r="BG103" t="s">
        <v>1055</v>
      </c>
      <c r="BH103" t="s">
        <v>88</v>
      </c>
      <c r="BI103" t="s">
        <v>1053</v>
      </c>
      <c r="BJ103" s="1">
        <v>0</v>
      </c>
      <c r="BK103" s="1">
        <v>0</v>
      </c>
      <c r="BL103" s="1">
        <v>0</v>
      </c>
      <c r="BM103" s="1">
        <v>0</v>
      </c>
      <c r="BN103" s="1">
        <v>0</v>
      </c>
      <c r="BO103"/>
    </row>
    <row r="104" spans="1:67" x14ac:dyDescent="0.55000000000000004">
      <c r="A104" t="s">
        <v>745</v>
      </c>
      <c r="B104" t="s">
        <v>206</v>
      </c>
      <c r="C104" t="s">
        <v>69</v>
      </c>
      <c r="D104" t="s">
        <v>85</v>
      </c>
      <c r="E104" t="s">
        <v>71</v>
      </c>
      <c r="F104" s="4">
        <v>174</v>
      </c>
      <c r="G104" t="s">
        <v>1056</v>
      </c>
      <c r="H10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104" s="1">
        <f>(Tabella15[[#This Row],[ALL5]]+Tabella15[[#This Row],[ALL6]]+Tabella15[[#This Row],[ALL22]]+Tabella15[[#This Row],[ALL32]]+Tabella15[[#This Row],[ALL7]]+Tabella15[[#This Row],[ALL8]])</f>
        <v>2</v>
      </c>
      <c r="J104"/>
      <c r="M104" s="21">
        <f>Tabella15[[#This Row],[IOT SPECFIC]]+Tabella15[[#This Row],[MBSE]]+Tabella15[[#This Row],[NEW MODEL]]</f>
        <v>0</v>
      </c>
      <c r="N104" s="21">
        <f>IF(Tabella15[[#This Row],[ALL]]&gt;0,1,0)</f>
        <v>0</v>
      </c>
      <c r="O104" s="1">
        <v>3</v>
      </c>
      <c r="P104" s="21">
        <f>IF(Tabella15[[#This Row],[DEPLOYMENT]]&gt;0,1,0)</f>
        <v>1</v>
      </c>
      <c r="Q104"/>
      <c r="S104">
        <v>3</v>
      </c>
      <c r="T104" s="21">
        <f>Tabella15[[#This Row],[issues]]+Tabella15[[#This Row],[High Level]]+Tabella15[[#This Row],[ORCHESTRATION]]</f>
        <v>3</v>
      </c>
      <c r="U104" s="21">
        <f>IF(Tabella15[[#This Row],[ALL2]]&gt;0,1,0)</f>
        <v>1</v>
      </c>
      <c r="V104"/>
      <c r="Y104" s="21">
        <f>Tabella15[[#This Row],[Logginh]]+Tabella15[[#This Row],[Monitoring]]+Tabella15[[#This Row],[Performance]]</f>
        <v>0</v>
      </c>
      <c r="Z104" s="21">
        <f>IF(Tabella15[[#This Row],[ALL3]]&gt;0,1,0)</f>
        <v>0</v>
      </c>
      <c r="AA104" s="1"/>
      <c r="AB104" s="21">
        <f>IF(Tabella15[[#This Row],[TESTING]]&gt;0,1,0)</f>
        <v>0</v>
      </c>
      <c r="AC104"/>
      <c r="AH104" s="21">
        <f>Tabella15[[#This Row],[PRIVACY]]+Tabella15[[#This Row],[MATURITY MODEL]]+Tabella15[[#This Row],[ADDITIONAL]]+Tabella15[[#This Row],[DEVSECOPS]]+Tabella15[[#This Row],[SECURITY]]</f>
        <v>0</v>
      </c>
      <c r="AI104" s="21">
        <f>IF(Tabella15[[#This Row],[ALL4]]&gt;0,1,0)</f>
        <v>0</v>
      </c>
      <c r="AJ104" s="1"/>
      <c r="AK104" s="1">
        <v>13</v>
      </c>
      <c r="AL104" s="1">
        <f>(Tabella15[[#This Row],[ALL5]]+Tabella15[[#This Row],[ALL6]]+Tabella15[[#This Row],[ALL22]]+Tabella15[[#This Row],[ALL32]]+Tabella15[[#This Row],[ALL7]]+Tabella15[[#This Row],[ALL8]])*Tabella15[[#This Row],[Citazioni distinte]]</f>
        <v>26</v>
      </c>
      <c r="AM104" s="1">
        <f>(Tabella15[[#This Row],[ALL5]]+Tabella15[[#This Row],[ALL6]]+Tabella15[[#This Row],[ALL22]]+Tabella15[[#This Row],[ALL32]]+Tabella15[[#This Row],[ALL7]]+Tabella15[[#This Row],[ALL8]])*Tabella15[[#This Row],[PUNTO]]</f>
        <v>4.62</v>
      </c>
      <c r="AN104" s="6" t="s">
        <v>73</v>
      </c>
      <c r="AO104" s="1">
        <v>8</v>
      </c>
      <c r="AP104" s="1" t="s">
        <v>74</v>
      </c>
      <c r="AQ104" s="1" t="s">
        <v>74</v>
      </c>
      <c r="AR104" s="1" t="s">
        <v>74</v>
      </c>
      <c r="AS104" s="1" t="s">
        <v>75</v>
      </c>
      <c r="AT104" s="1" t="s">
        <v>77</v>
      </c>
      <c r="AU104" s="1" t="s">
        <v>77</v>
      </c>
      <c r="AV104" t="s">
        <v>1057</v>
      </c>
      <c r="AW104">
        <v>2021</v>
      </c>
      <c r="AX104" t="s">
        <v>1058</v>
      </c>
      <c r="AY104" s="2" t="s">
        <v>1059</v>
      </c>
      <c r="AZ104" t="s">
        <v>1060</v>
      </c>
      <c r="BA104" t="s">
        <v>1061</v>
      </c>
      <c r="BD104" t="s">
        <v>164</v>
      </c>
      <c r="BE104" t="s">
        <v>85</v>
      </c>
      <c r="BF104" t="s">
        <v>1062</v>
      </c>
      <c r="BG104" t="s">
        <v>1063</v>
      </c>
      <c r="BH104" t="s">
        <v>88</v>
      </c>
      <c r="BJ104" s="1">
        <v>13</v>
      </c>
      <c r="BK104" s="1">
        <v>7</v>
      </c>
      <c r="BL104" s="1">
        <v>13</v>
      </c>
      <c r="BM104" s="1">
        <v>0</v>
      </c>
      <c r="BN104" s="1">
        <v>13</v>
      </c>
      <c r="BO104"/>
    </row>
    <row r="105" spans="1:67" x14ac:dyDescent="0.55000000000000004">
      <c r="A105" t="s">
        <v>715</v>
      </c>
      <c r="B105" t="s">
        <v>122</v>
      </c>
      <c r="C105" t="s">
        <v>123</v>
      </c>
      <c r="D105" t="s">
        <v>202</v>
      </c>
      <c r="E105" t="s">
        <v>102</v>
      </c>
      <c r="F105" s="4">
        <v>178</v>
      </c>
      <c r="G105" t="s">
        <v>1064</v>
      </c>
      <c r="H10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4</v>
      </c>
      <c r="I105" s="1">
        <f>(Tabella15[[#This Row],[ALL5]]+Tabella15[[#This Row],[ALL6]]+Tabella15[[#This Row],[ALL22]]+Tabella15[[#This Row],[ALL32]]+Tabella15[[#This Row],[ALL7]]+Tabella15[[#This Row],[ALL8]])</f>
        <v>1</v>
      </c>
      <c r="J105"/>
      <c r="M105" s="21">
        <f>Tabella15[[#This Row],[IOT SPECFIC]]+Tabella15[[#This Row],[MBSE]]+Tabella15[[#This Row],[NEW MODEL]]</f>
        <v>0</v>
      </c>
      <c r="N105" s="21">
        <f>IF(Tabella15[[#This Row],[ALL]]&gt;0,1,0)</f>
        <v>0</v>
      </c>
      <c r="O105" s="1"/>
      <c r="P105" s="21">
        <f>IF(Tabella15[[#This Row],[DEPLOYMENT]]&gt;0,1,0)</f>
        <v>0</v>
      </c>
      <c r="Q105"/>
      <c r="T105" s="21">
        <f>Tabella15[[#This Row],[issues]]+Tabella15[[#This Row],[High Level]]+Tabella15[[#This Row],[ORCHESTRATION]]</f>
        <v>0</v>
      </c>
      <c r="U105" s="21">
        <f>IF(Tabella15[[#This Row],[ALL2]]&gt;0,1,0)</f>
        <v>0</v>
      </c>
      <c r="V105"/>
      <c r="Y105" s="21">
        <f>Tabella15[[#This Row],[Logginh]]+Tabella15[[#This Row],[Monitoring]]+Tabella15[[#This Row],[Performance]]</f>
        <v>0</v>
      </c>
      <c r="Z105" s="21">
        <f>IF(Tabella15[[#This Row],[ALL3]]&gt;0,1,0)</f>
        <v>0</v>
      </c>
      <c r="AA105" s="1">
        <v>1</v>
      </c>
      <c r="AB105" s="21">
        <f>IF(Tabella15[[#This Row],[TESTING]]&gt;0,1,0)</f>
        <v>1</v>
      </c>
      <c r="AC105"/>
      <c r="AH105" s="21">
        <f>Tabella15[[#This Row],[PRIVACY]]+Tabella15[[#This Row],[MATURITY MODEL]]+Tabella15[[#This Row],[ADDITIONAL]]+Tabella15[[#This Row],[DEVSECOPS]]+Tabella15[[#This Row],[SECURITY]]</f>
        <v>0</v>
      </c>
      <c r="AI105" s="21">
        <f>IF(Tabella15[[#This Row],[ALL4]]&gt;0,1,0)</f>
        <v>0</v>
      </c>
      <c r="AJ105" s="1"/>
      <c r="AK105" s="1">
        <v>0</v>
      </c>
      <c r="AL105" s="1">
        <f>(Tabella15[[#This Row],[ALL5]]+Tabella15[[#This Row],[ALL6]]+Tabella15[[#This Row],[ALL22]]+Tabella15[[#This Row],[ALL32]]+Tabella15[[#This Row],[ALL7]]+Tabella15[[#This Row],[ALL8]])*Tabella15[[#This Row],[Citazioni distinte]]</f>
        <v>0</v>
      </c>
      <c r="AM105" s="1">
        <f>(Tabella15[[#This Row],[ALL5]]+Tabella15[[#This Row],[ALL6]]+Tabella15[[#This Row],[ALL22]]+Tabella15[[#This Row],[ALL32]]+Tabella15[[#This Row],[ALL7]]+Tabella15[[#This Row],[ALL8]])*Tabella15[[#This Row],[PUNTO]]</f>
        <v>4</v>
      </c>
      <c r="AN105" s="6" t="s">
        <v>102</v>
      </c>
      <c r="AO105" s="1">
        <v>43</v>
      </c>
      <c r="AP105" s="1" t="s">
        <v>102</v>
      </c>
      <c r="AQ105" s="1" t="s">
        <v>102</v>
      </c>
      <c r="AR105" s="1" t="s">
        <v>102</v>
      </c>
      <c r="AS105" s="1" t="s">
        <v>102</v>
      </c>
      <c r="AT105" s="1" t="s">
        <v>77</v>
      </c>
      <c r="AU105" s="1" t="s">
        <v>77</v>
      </c>
      <c r="AV105" t="s">
        <v>1065</v>
      </c>
      <c r="AW105">
        <v>2026</v>
      </c>
      <c r="AX105" t="s">
        <v>1066</v>
      </c>
      <c r="AY105" t="s">
        <v>1067</v>
      </c>
      <c r="AZ105" t="s">
        <v>1068</v>
      </c>
      <c r="BB105" t="s">
        <v>1069</v>
      </c>
      <c r="BE105" t="s">
        <v>202</v>
      </c>
      <c r="BF105" t="s">
        <v>1071</v>
      </c>
      <c r="BG105" t="s">
        <v>1072</v>
      </c>
      <c r="BH105" t="s">
        <v>1073</v>
      </c>
      <c r="BI105" t="s">
        <v>1070</v>
      </c>
      <c r="BJ105" s="1">
        <v>0</v>
      </c>
      <c r="BK105" s="1">
        <v>0</v>
      </c>
      <c r="BL105" s="1">
        <v>0</v>
      </c>
      <c r="BM105" s="1">
        <v>0</v>
      </c>
      <c r="BN105" s="1">
        <v>0</v>
      </c>
      <c r="BO105"/>
    </row>
    <row r="106" spans="1:67" x14ac:dyDescent="0.55000000000000004">
      <c r="A106" t="s">
        <v>774</v>
      </c>
      <c r="B106" t="s">
        <v>206</v>
      </c>
      <c r="C106" t="s">
        <v>69</v>
      </c>
      <c r="D106" t="s">
        <v>256</v>
      </c>
      <c r="E106" t="s">
        <v>73</v>
      </c>
      <c r="F106" s="4">
        <v>181</v>
      </c>
      <c r="G106" t="s">
        <v>1074</v>
      </c>
      <c r="H10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06" s="1">
        <f>(Tabella15[[#This Row],[ALL5]]+Tabella15[[#This Row],[ALL6]]+Tabella15[[#This Row],[ALL22]]+Tabella15[[#This Row],[ALL32]]+Tabella15[[#This Row],[ALL7]]+Tabella15[[#This Row],[ALL8]])</f>
        <v>1</v>
      </c>
      <c r="J106"/>
      <c r="M106" s="21">
        <f>Tabella15[[#This Row],[IOT SPECFIC]]+Tabella15[[#This Row],[MBSE]]+Tabella15[[#This Row],[NEW MODEL]]</f>
        <v>0</v>
      </c>
      <c r="N106" s="21">
        <f>IF(Tabella15[[#This Row],[ALL]]&gt;0,1,0)</f>
        <v>0</v>
      </c>
      <c r="O106" s="1"/>
      <c r="P106" s="21">
        <f>IF(Tabella15[[#This Row],[DEPLOYMENT]]&gt;0,1,0)</f>
        <v>0</v>
      </c>
      <c r="Q106"/>
      <c r="T106" s="21">
        <f>Tabella15[[#This Row],[issues]]+Tabella15[[#This Row],[High Level]]+Tabella15[[#This Row],[ORCHESTRATION]]</f>
        <v>0</v>
      </c>
      <c r="U106" s="21">
        <f>IF(Tabella15[[#This Row],[ALL2]]&gt;0,1,0)</f>
        <v>0</v>
      </c>
      <c r="V106"/>
      <c r="Y106" s="21">
        <f>Tabella15[[#This Row],[Logginh]]+Tabella15[[#This Row],[Monitoring]]+Tabella15[[#This Row],[Performance]]</f>
        <v>0</v>
      </c>
      <c r="Z106" s="21">
        <f>IF(Tabella15[[#This Row],[ALL3]]&gt;0,1,0)</f>
        <v>0</v>
      </c>
      <c r="AA106" s="1"/>
      <c r="AB106" s="21">
        <f>IF(Tabella15[[#This Row],[TESTING]]&gt;0,1,0)</f>
        <v>0</v>
      </c>
      <c r="AC106"/>
      <c r="AD106">
        <v>1</v>
      </c>
      <c r="AH106" s="21">
        <f>Tabella15[[#This Row],[PRIVACY]]+Tabella15[[#This Row],[MATURITY MODEL]]+Tabella15[[#This Row],[ADDITIONAL]]+Tabella15[[#This Row],[DEVSECOPS]]+Tabella15[[#This Row],[SECURITY]]</f>
        <v>1</v>
      </c>
      <c r="AI106" s="21">
        <f>IF(Tabella15[[#This Row],[ALL4]]&gt;0,1,0)</f>
        <v>1</v>
      </c>
      <c r="AJ106" s="1"/>
      <c r="AK106" s="1">
        <v>0</v>
      </c>
      <c r="AL106" s="1">
        <f>(Tabella15[[#This Row],[ALL5]]+Tabella15[[#This Row],[ALL6]]+Tabella15[[#This Row],[ALL22]]+Tabella15[[#This Row],[ALL32]]+Tabella15[[#This Row],[ALL7]]+Tabella15[[#This Row],[ALL8]])*Tabella15[[#This Row],[Citazioni distinte]]</f>
        <v>0</v>
      </c>
      <c r="AM106" s="1">
        <f>(Tabella15[[#This Row],[ALL5]]+Tabella15[[#This Row],[ALL6]]+Tabella15[[#This Row],[ALL22]]+Tabella15[[#This Row],[ALL32]]+Tabella15[[#This Row],[ALL7]]+Tabella15[[#This Row],[ALL8]])*Tabella15[[#This Row],[PUNTO]]</f>
        <v>1.32</v>
      </c>
      <c r="AN106" s="6" t="s">
        <v>73</v>
      </c>
      <c r="AO106" s="1">
        <v>4</v>
      </c>
      <c r="AP106" s="1" t="s">
        <v>75</v>
      </c>
      <c r="AQ106" s="1" t="s">
        <v>75</v>
      </c>
      <c r="AR106" s="1" t="s">
        <v>75</v>
      </c>
      <c r="AS106" s="1" t="s">
        <v>75</v>
      </c>
      <c r="AT106" s="1" t="s">
        <v>76</v>
      </c>
      <c r="AU106" s="1" t="s">
        <v>77</v>
      </c>
      <c r="AV106" t="s">
        <v>1075</v>
      </c>
      <c r="AW106">
        <v>2025</v>
      </c>
      <c r="AX106" t="s">
        <v>1076</v>
      </c>
      <c r="AY106" s="2" t="s">
        <v>1077</v>
      </c>
      <c r="AZ106" t="s">
        <v>1078</v>
      </c>
      <c r="BA106" t="s">
        <v>1079</v>
      </c>
      <c r="BC106" t="s">
        <v>1080</v>
      </c>
      <c r="BD106" t="s">
        <v>60</v>
      </c>
      <c r="BE106" t="s">
        <v>256</v>
      </c>
      <c r="BF106" t="s">
        <v>1082</v>
      </c>
      <c r="BG106" t="s">
        <v>1083</v>
      </c>
      <c r="BH106" t="s">
        <v>1084</v>
      </c>
      <c r="BI106" t="s">
        <v>1081</v>
      </c>
      <c r="BJ106" s="1">
        <v>0</v>
      </c>
      <c r="BK106" s="1">
        <v>0</v>
      </c>
      <c r="BL106" s="1">
        <v>0</v>
      </c>
      <c r="BM106" s="1">
        <v>0</v>
      </c>
      <c r="BN106" s="1">
        <v>0</v>
      </c>
      <c r="BO106"/>
    </row>
    <row r="107" spans="1:67" x14ac:dyDescent="0.55000000000000004">
      <c r="A107" t="s">
        <v>1085</v>
      </c>
      <c r="B107" t="s">
        <v>1013</v>
      </c>
      <c r="C107" t="s">
        <v>69</v>
      </c>
      <c r="D107" t="s">
        <v>202</v>
      </c>
      <c r="E107" t="s">
        <v>102</v>
      </c>
      <c r="F107" s="4">
        <v>182</v>
      </c>
      <c r="G107" t="s">
        <v>1086</v>
      </c>
      <c r="H10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07" s="1">
        <f>(Tabella15[[#This Row],[ALL5]]+Tabella15[[#This Row],[ALL6]]+Tabella15[[#This Row],[ALL22]]+Tabella15[[#This Row],[ALL32]]+Tabella15[[#This Row],[ALL7]]+Tabella15[[#This Row],[ALL8]])</f>
        <v>1</v>
      </c>
      <c r="J107"/>
      <c r="M107" s="21">
        <f>Tabella15[[#This Row],[IOT SPECFIC]]+Tabella15[[#This Row],[MBSE]]+Tabella15[[#This Row],[NEW MODEL]]</f>
        <v>0</v>
      </c>
      <c r="N107" s="21">
        <f>IF(Tabella15[[#This Row],[ALL]]&gt;0,1,0)</f>
        <v>0</v>
      </c>
      <c r="O107" s="1"/>
      <c r="P107" s="21">
        <f>IF(Tabella15[[#This Row],[DEPLOYMENT]]&gt;0,1,0)</f>
        <v>0</v>
      </c>
      <c r="Q107"/>
      <c r="T107" s="21">
        <f>Tabella15[[#This Row],[issues]]+Tabella15[[#This Row],[High Level]]+Tabella15[[#This Row],[ORCHESTRATION]]</f>
        <v>0</v>
      </c>
      <c r="U107" s="21">
        <f>IF(Tabella15[[#This Row],[ALL2]]&gt;0,1,0)</f>
        <v>0</v>
      </c>
      <c r="V107"/>
      <c r="Y107" s="21">
        <f>Tabella15[[#This Row],[Logginh]]+Tabella15[[#This Row],[Monitoring]]+Tabella15[[#This Row],[Performance]]</f>
        <v>0</v>
      </c>
      <c r="Z107" s="21">
        <f>IF(Tabella15[[#This Row],[ALL3]]&gt;0,1,0)</f>
        <v>0</v>
      </c>
      <c r="AA107" s="1">
        <v>1</v>
      </c>
      <c r="AB107" s="21">
        <f>IF(Tabella15[[#This Row],[TESTING]]&gt;0,1,0)</f>
        <v>1</v>
      </c>
      <c r="AC107"/>
      <c r="AH107" s="21">
        <f>Tabella15[[#This Row],[PRIVACY]]+Tabella15[[#This Row],[MATURITY MODEL]]+Tabella15[[#This Row],[ADDITIONAL]]+Tabella15[[#This Row],[DEVSECOPS]]+Tabella15[[#This Row],[SECURITY]]</f>
        <v>0</v>
      </c>
      <c r="AI107" s="21">
        <f>IF(Tabella15[[#This Row],[ALL4]]&gt;0,1,0)</f>
        <v>0</v>
      </c>
      <c r="AJ107" s="1"/>
      <c r="AK107" s="1">
        <v>18</v>
      </c>
      <c r="AL107" s="1">
        <f>(Tabella15[[#This Row],[ALL5]]+Tabella15[[#This Row],[ALL6]]+Tabella15[[#This Row],[ALL22]]+Tabella15[[#This Row],[ALL32]]+Tabella15[[#This Row],[ALL7]]+Tabella15[[#This Row],[ALL8]])*Tabella15[[#This Row],[Citazioni distinte]]</f>
        <v>18</v>
      </c>
      <c r="AM107" s="1">
        <f>(Tabella15[[#This Row],[ALL5]]+Tabella15[[#This Row],[ALL6]]+Tabella15[[#This Row],[ALL22]]+Tabella15[[#This Row],[ALL32]]+Tabella15[[#This Row],[ALL7]]+Tabella15[[#This Row],[ALL8]])*Tabella15[[#This Row],[PUNTO]]</f>
        <v>1.32</v>
      </c>
      <c r="AN107" s="6" t="s">
        <v>102</v>
      </c>
      <c r="AO107" s="1">
        <v>8</v>
      </c>
      <c r="AP107" s="1" t="s">
        <v>75</v>
      </c>
      <c r="AQ107" s="1" t="s">
        <v>75</v>
      </c>
      <c r="AR107" s="1" t="s">
        <v>75</v>
      </c>
      <c r="AS107" s="1" t="s">
        <v>75</v>
      </c>
      <c r="AT107" s="1" t="s">
        <v>76</v>
      </c>
      <c r="AU107" s="1" t="s">
        <v>77</v>
      </c>
      <c r="AV107" t="s">
        <v>1087</v>
      </c>
      <c r="AW107">
        <v>2019</v>
      </c>
      <c r="AX107" t="s">
        <v>1088</v>
      </c>
      <c r="AY107" s="2" t="s">
        <v>1089</v>
      </c>
      <c r="AZ107" t="s">
        <v>1090</v>
      </c>
      <c r="BA107" t="s">
        <v>1091</v>
      </c>
      <c r="BC107" t="s">
        <v>1092</v>
      </c>
      <c r="BD107" t="s">
        <v>428</v>
      </c>
      <c r="BE107" t="s">
        <v>202</v>
      </c>
      <c r="BF107" t="s">
        <v>1094</v>
      </c>
      <c r="BG107" t="s">
        <v>1095</v>
      </c>
      <c r="BH107" t="s">
        <v>88</v>
      </c>
      <c r="BI107" t="s">
        <v>1093</v>
      </c>
      <c r="BJ107" s="1">
        <v>0</v>
      </c>
      <c r="BK107" s="1">
        <v>0</v>
      </c>
      <c r="BL107" s="1">
        <v>13</v>
      </c>
      <c r="BM107" s="1">
        <v>18</v>
      </c>
      <c r="BN107" s="1">
        <v>18</v>
      </c>
      <c r="BO107"/>
    </row>
    <row r="108" spans="1:67" x14ac:dyDescent="0.55000000000000004">
      <c r="A108" t="s">
        <v>715</v>
      </c>
      <c r="B108" t="s">
        <v>68</v>
      </c>
      <c r="C108" t="s">
        <v>69</v>
      </c>
      <c r="D108" t="s">
        <v>256</v>
      </c>
      <c r="E108" t="s">
        <v>71</v>
      </c>
      <c r="F108" s="4">
        <v>184</v>
      </c>
      <c r="G108" t="s">
        <v>1096</v>
      </c>
      <c r="H10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v>
      </c>
      <c r="I108" s="1">
        <f>(Tabella15[[#This Row],[ALL5]]+Tabella15[[#This Row],[ALL6]]+Tabella15[[#This Row],[ALL22]]+Tabella15[[#This Row],[ALL32]]+Tabella15[[#This Row],[ALL7]]+Tabella15[[#This Row],[ALL8]])</f>
        <v>2</v>
      </c>
      <c r="J108"/>
      <c r="M108" s="21">
        <f>Tabella15[[#This Row],[IOT SPECFIC]]+Tabella15[[#This Row],[MBSE]]+Tabella15[[#This Row],[NEW MODEL]]</f>
        <v>0</v>
      </c>
      <c r="N108" s="21">
        <f>IF(Tabella15[[#This Row],[ALL]]&gt;0,1,0)</f>
        <v>0</v>
      </c>
      <c r="O108" s="1"/>
      <c r="P108" s="21">
        <f>IF(Tabella15[[#This Row],[DEPLOYMENT]]&gt;0,1,0)</f>
        <v>0</v>
      </c>
      <c r="Q108"/>
      <c r="T108" s="21">
        <f>Tabella15[[#This Row],[issues]]+Tabella15[[#This Row],[High Level]]+Tabella15[[#This Row],[ORCHESTRATION]]</f>
        <v>0</v>
      </c>
      <c r="U108" s="21">
        <f>IF(Tabella15[[#This Row],[ALL2]]&gt;0,1,0)</f>
        <v>0</v>
      </c>
      <c r="V108"/>
      <c r="Y108" s="21">
        <f>Tabella15[[#This Row],[Logginh]]+Tabella15[[#This Row],[Monitoring]]+Tabella15[[#This Row],[Performance]]</f>
        <v>0</v>
      </c>
      <c r="Z108" s="21">
        <f>IF(Tabella15[[#This Row],[ALL3]]&gt;0,1,0)</f>
        <v>0</v>
      </c>
      <c r="AA108" s="1">
        <v>1</v>
      </c>
      <c r="AB108" s="21">
        <f>IF(Tabella15[[#This Row],[TESTING]]&gt;0,1,0)</f>
        <v>1</v>
      </c>
      <c r="AC108"/>
      <c r="AD108">
        <v>1</v>
      </c>
      <c r="AH108" s="21">
        <f>Tabella15[[#This Row],[PRIVACY]]+Tabella15[[#This Row],[MATURITY MODEL]]+Tabella15[[#This Row],[ADDITIONAL]]+Tabella15[[#This Row],[DEVSECOPS]]+Tabella15[[#This Row],[SECURITY]]</f>
        <v>1</v>
      </c>
      <c r="AI108" s="21">
        <f>IF(Tabella15[[#This Row],[ALL4]]&gt;0,1,0)</f>
        <v>1</v>
      </c>
      <c r="AJ108" s="1"/>
      <c r="AK108" s="1">
        <v>10</v>
      </c>
      <c r="AL108" s="1">
        <f>(Tabella15[[#This Row],[ALL5]]+Tabella15[[#This Row],[ALL6]]+Tabella15[[#This Row],[ALL22]]+Tabella15[[#This Row],[ALL32]]+Tabella15[[#This Row],[ALL7]]+Tabella15[[#This Row],[ALL8]])*Tabella15[[#This Row],[Citazioni distinte]]</f>
        <v>20</v>
      </c>
      <c r="AM108" s="1">
        <f>(Tabella15[[#This Row],[ALL5]]+Tabella15[[#This Row],[ALL6]]+Tabella15[[#This Row],[ALL22]]+Tabella15[[#This Row],[ALL32]]+Tabella15[[#This Row],[ALL7]]+Tabella15[[#This Row],[ALL8]])*Tabella15[[#This Row],[PUNTO]]</f>
        <v>3.3</v>
      </c>
      <c r="AN108" s="6" t="s">
        <v>73</v>
      </c>
      <c r="AO108" s="1">
        <v>10</v>
      </c>
      <c r="AP108" s="1" t="s">
        <v>74</v>
      </c>
      <c r="AQ108" s="1" t="s">
        <v>75</v>
      </c>
      <c r="AR108" s="1" t="s">
        <v>74</v>
      </c>
      <c r="AS108" s="1" t="s">
        <v>327</v>
      </c>
      <c r="AT108" s="1" t="s">
        <v>76</v>
      </c>
      <c r="AU108" s="1" t="s">
        <v>77</v>
      </c>
      <c r="AV108" t="s">
        <v>1097</v>
      </c>
      <c r="AW108">
        <v>2020</v>
      </c>
      <c r="AX108" t="s">
        <v>1098</v>
      </c>
      <c r="AY108" t="s">
        <v>1099</v>
      </c>
      <c r="AZ108" t="s">
        <v>1100</v>
      </c>
      <c r="BB108" t="s">
        <v>1101</v>
      </c>
      <c r="BE108" t="s">
        <v>256</v>
      </c>
      <c r="BF108" t="s">
        <v>1103</v>
      </c>
      <c r="BG108" t="s">
        <v>1104</v>
      </c>
      <c r="BH108" t="s">
        <v>1105</v>
      </c>
      <c r="BI108" t="s">
        <v>1102</v>
      </c>
      <c r="BJ108" s="1">
        <v>10</v>
      </c>
      <c r="BK108" s="1">
        <v>0</v>
      </c>
      <c r="BL108" s="1">
        <v>0</v>
      </c>
      <c r="BM108" s="1">
        <v>0</v>
      </c>
      <c r="BN108" s="1">
        <v>10</v>
      </c>
      <c r="BO108"/>
    </row>
    <row r="109" spans="1:67" x14ac:dyDescent="0.55000000000000004">
      <c r="A109" t="s">
        <v>745</v>
      </c>
      <c r="B109" t="s">
        <v>206</v>
      </c>
      <c r="C109" t="s">
        <v>69</v>
      </c>
      <c r="D109" t="s">
        <v>131</v>
      </c>
      <c r="E109" t="s">
        <v>71</v>
      </c>
      <c r="F109" s="4">
        <v>195</v>
      </c>
      <c r="G109" t="s">
        <v>1106</v>
      </c>
      <c r="H10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2.31</v>
      </c>
      <c r="I109" s="1">
        <f>(Tabella15[[#This Row],[ALL5]]+Tabella15[[#This Row],[ALL6]]+Tabella15[[#This Row],[ALL22]]+Tabella15[[#This Row],[ALL32]]+Tabella15[[#This Row],[ALL7]]+Tabella15[[#This Row],[ALL8]])</f>
        <v>1</v>
      </c>
      <c r="J109"/>
      <c r="M109" s="21">
        <f>Tabella15[[#This Row],[IOT SPECFIC]]+Tabella15[[#This Row],[MBSE]]+Tabella15[[#This Row],[NEW MODEL]]</f>
        <v>0</v>
      </c>
      <c r="N109" s="21">
        <f>IF(Tabella15[[#This Row],[ALL]]&gt;0,1,0)</f>
        <v>0</v>
      </c>
      <c r="O109" s="1">
        <v>3</v>
      </c>
      <c r="P109" s="21">
        <f>IF(Tabella15[[#This Row],[DEPLOYMENT]]&gt;0,1,0)</f>
        <v>1</v>
      </c>
      <c r="Q109"/>
      <c r="T109" s="21">
        <f>Tabella15[[#This Row],[issues]]+Tabella15[[#This Row],[High Level]]+Tabella15[[#This Row],[ORCHESTRATION]]</f>
        <v>0</v>
      </c>
      <c r="U109" s="21">
        <f>IF(Tabella15[[#This Row],[ALL2]]&gt;0,1,0)</f>
        <v>0</v>
      </c>
      <c r="V109"/>
      <c r="Y109" s="21">
        <f>Tabella15[[#This Row],[Logginh]]+Tabella15[[#This Row],[Monitoring]]+Tabella15[[#This Row],[Performance]]</f>
        <v>0</v>
      </c>
      <c r="Z109" s="21">
        <f>IF(Tabella15[[#This Row],[ALL3]]&gt;0,1,0)</f>
        <v>0</v>
      </c>
      <c r="AA109" s="1"/>
      <c r="AB109" s="21">
        <f>IF(Tabella15[[#This Row],[TESTING]]&gt;0,1,0)</f>
        <v>0</v>
      </c>
      <c r="AC109"/>
      <c r="AH109" s="21">
        <f>Tabella15[[#This Row],[PRIVACY]]+Tabella15[[#This Row],[MATURITY MODEL]]+Tabella15[[#This Row],[ADDITIONAL]]+Tabella15[[#This Row],[DEVSECOPS]]+Tabella15[[#This Row],[SECURITY]]</f>
        <v>0</v>
      </c>
      <c r="AI109" s="21">
        <f>IF(Tabella15[[#This Row],[ALL4]]&gt;0,1,0)</f>
        <v>0</v>
      </c>
      <c r="AJ109" s="1"/>
      <c r="AK109" s="1">
        <v>2</v>
      </c>
      <c r="AL109" s="1">
        <f>(Tabella15[[#This Row],[ALL5]]+Tabella15[[#This Row],[ALL6]]+Tabella15[[#This Row],[ALL22]]+Tabella15[[#This Row],[ALL32]]+Tabella15[[#This Row],[ALL7]]+Tabella15[[#This Row],[ALL8]])*Tabella15[[#This Row],[Citazioni distinte]]</f>
        <v>2</v>
      </c>
      <c r="AM109" s="1">
        <f>(Tabella15[[#This Row],[ALL5]]+Tabella15[[#This Row],[ALL6]]+Tabella15[[#This Row],[ALL22]]+Tabella15[[#This Row],[ALL32]]+Tabella15[[#This Row],[ALL7]]+Tabella15[[#This Row],[ALL8]])*Tabella15[[#This Row],[PUNTO]]</f>
        <v>2.31</v>
      </c>
      <c r="AN109" s="6" t="s">
        <v>102</v>
      </c>
      <c r="AO109" s="1">
        <v>8</v>
      </c>
      <c r="AP109" s="1" t="s">
        <v>74</v>
      </c>
      <c r="AQ109" s="1" t="s">
        <v>74</v>
      </c>
      <c r="AR109" s="1" t="s">
        <v>74</v>
      </c>
      <c r="AS109" s="1" t="s">
        <v>75</v>
      </c>
      <c r="AT109" s="1" t="s">
        <v>76</v>
      </c>
      <c r="AU109" s="1" t="s">
        <v>77</v>
      </c>
      <c r="AV109" t="s">
        <v>1107</v>
      </c>
      <c r="AW109">
        <v>2022</v>
      </c>
      <c r="AX109" t="s">
        <v>1108</v>
      </c>
      <c r="AY109" s="2" t="s">
        <v>1109</v>
      </c>
      <c r="AZ109" t="s">
        <v>1110</v>
      </c>
      <c r="BA109" t="s">
        <v>1111</v>
      </c>
      <c r="BC109" t="s">
        <v>1112</v>
      </c>
      <c r="BD109" t="s">
        <v>60</v>
      </c>
      <c r="BE109" t="s">
        <v>131</v>
      </c>
      <c r="BF109" t="s">
        <v>1114</v>
      </c>
      <c r="BG109" t="s">
        <v>1115</v>
      </c>
      <c r="BH109" t="s">
        <v>298</v>
      </c>
      <c r="BI109" t="s">
        <v>1113</v>
      </c>
      <c r="BJ109" s="1">
        <v>2</v>
      </c>
      <c r="BK109" s="1">
        <v>2</v>
      </c>
      <c r="BL109" s="1">
        <v>0</v>
      </c>
      <c r="BM109" s="1">
        <v>0</v>
      </c>
      <c r="BN109" s="1">
        <v>2</v>
      </c>
      <c r="BO109"/>
    </row>
    <row r="110" spans="1:67" x14ac:dyDescent="0.55000000000000004">
      <c r="A110" t="s">
        <v>725</v>
      </c>
      <c r="B110" t="s">
        <v>68</v>
      </c>
      <c r="C110" t="s">
        <v>69</v>
      </c>
      <c r="D110" t="s">
        <v>85</v>
      </c>
      <c r="E110" t="s">
        <v>73</v>
      </c>
      <c r="F110" s="4">
        <v>196</v>
      </c>
      <c r="G110" t="s">
        <v>1116</v>
      </c>
      <c r="H11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1.6500000000000001</v>
      </c>
      <c r="I110" s="1">
        <f>(Tabella15[[#This Row],[ALL5]]+Tabella15[[#This Row],[ALL6]]+Tabella15[[#This Row],[ALL22]]+Tabella15[[#This Row],[ALL32]]+Tabella15[[#This Row],[ALL7]]+Tabella15[[#This Row],[ALL8]])</f>
        <v>1</v>
      </c>
      <c r="J110"/>
      <c r="M110" s="21">
        <f>Tabella15[[#This Row],[IOT SPECFIC]]+Tabella15[[#This Row],[MBSE]]+Tabella15[[#This Row],[NEW MODEL]]</f>
        <v>0</v>
      </c>
      <c r="N110" s="21">
        <f>IF(Tabella15[[#This Row],[ALL]]&gt;0,1,0)</f>
        <v>0</v>
      </c>
      <c r="O110" s="1">
        <v>3</v>
      </c>
      <c r="P110" s="21">
        <f>IF(Tabella15[[#This Row],[DEPLOYMENT]]&gt;0,1,0)</f>
        <v>1</v>
      </c>
      <c r="Q110" s="1"/>
      <c r="R110" s="1"/>
      <c r="S110" s="1"/>
      <c r="T110" s="21">
        <f>Tabella15[[#This Row],[issues]]+Tabella15[[#This Row],[High Level]]+Tabella15[[#This Row],[ORCHESTRATION]]</f>
        <v>0</v>
      </c>
      <c r="U110" s="21">
        <f>IF(Tabella15[[#This Row],[ALL2]]&gt;0,1,0)</f>
        <v>0</v>
      </c>
      <c r="V110" s="1"/>
      <c r="W110" s="1"/>
      <c r="X110" s="1"/>
      <c r="Y110" s="21">
        <f>Tabella15[[#This Row],[Logginh]]+Tabella15[[#This Row],[Monitoring]]+Tabella15[[#This Row],[Performance]]</f>
        <v>0</v>
      </c>
      <c r="Z110" s="21">
        <f>IF(Tabella15[[#This Row],[ALL3]]&gt;0,1,0)</f>
        <v>0</v>
      </c>
      <c r="AA110" s="1"/>
      <c r="AB110" s="21">
        <f>IF(Tabella15[[#This Row],[TESTING]]&gt;0,1,0)</f>
        <v>0</v>
      </c>
      <c r="AC110" s="1"/>
      <c r="AD110" s="1"/>
      <c r="AE110" s="1"/>
      <c r="AF110" s="1"/>
      <c r="AG110" s="1"/>
      <c r="AH110" s="21">
        <f>Tabella15[[#This Row],[PRIVACY]]+Tabella15[[#This Row],[MATURITY MODEL]]+Tabella15[[#This Row],[ADDITIONAL]]+Tabella15[[#This Row],[DEVSECOPS]]+Tabella15[[#This Row],[SECURITY]]</f>
        <v>0</v>
      </c>
      <c r="AI110" s="21">
        <f>IF(Tabella15[[#This Row],[ALL4]]&gt;0,1,0)</f>
        <v>0</v>
      </c>
      <c r="AJ110" s="1">
        <v>-1</v>
      </c>
      <c r="AK110" s="1">
        <v>8</v>
      </c>
      <c r="AL110" s="1">
        <f>(Tabella15[[#This Row],[ALL5]]+Tabella15[[#This Row],[ALL6]]+Tabella15[[#This Row],[ALL22]]+Tabella15[[#This Row],[ALL32]]+Tabella15[[#This Row],[ALL7]]+Tabella15[[#This Row],[ALL8]])*Tabella15[[#This Row],[Citazioni distinte]]</f>
        <v>8</v>
      </c>
      <c r="AM110" s="1">
        <f>(Tabella15[[#This Row],[ALL5]]+Tabella15[[#This Row],[ALL6]]+Tabella15[[#This Row],[ALL22]]+Tabella15[[#This Row],[ALL32]]+Tabella15[[#This Row],[ALL7]]+Tabella15[[#This Row],[ALL8]])*Tabella15[[#This Row],[PUNTO]]</f>
        <v>1.6500000000000001</v>
      </c>
      <c r="AN110" s="6" t="s">
        <v>102</v>
      </c>
      <c r="AO110" s="1">
        <v>12</v>
      </c>
      <c r="AP110" s="1" t="s">
        <v>74</v>
      </c>
      <c r="AQ110" s="1" t="s">
        <v>75</v>
      </c>
      <c r="AR110" s="1" t="s">
        <v>75</v>
      </c>
      <c r="AS110" s="1" t="s">
        <v>75</v>
      </c>
      <c r="AT110" s="1" t="s">
        <v>76</v>
      </c>
      <c r="AU110" s="1" t="s">
        <v>77</v>
      </c>
      <c r="AV110" t="s">
        <v>1117</v>
      </c>
      <c r="AW110">
        <v>2018</v>
      </c>
      <c r="AX110" t="s">
        <v>1118</v>
      </c>
      <c r="AY110" t="s">
        <v>1119</v>
      </c>
      <c r="AZ110" t="s">
        <v>1120</v>
      </c>
      <c r="BB110" t="s">
        <v>1121</v>
      </c>
      <c r="BE110" t="s">
        <v>85</v>
      </c>
      <c r="BF110" t="s">
        <v>1123</v>
      </c>
      <c r="BG110" t="s">
        <v>1124</v>
      </c>
      <c r="BH110" t="s">
        <v>88</v>
      </c>
      <c r="BI110" t="s">
        <v>1122</v>
      </c>
      <c r="BJ110" s="1">
        <v>0</v>
      </c>
      <c r="BK110" s="1">
        <v>0</v>
      </c>
      <c r="BL110" s="1">
        <v>8</v>
      </c>
      <c r="BM110" s="1">
        <v>0</v>
      </c>
      <c r="BN110" s="1">
        <v>8</v>
      </c>
      <c r="BO110"/>
    </row>
    <row r="111" spans="1:67" x14ac:dyDescent="0.55000000000000004">
      <c r="A111" t="s">
        <v>715</v>
      </c>
      <c r="B111" t="s">
        <v>68</v>
      </c>
      <c r="C111" t="s">
        <v>69</v>
      </c>
      <c r="D111" t="s">
        <v>256</v>
      </c>
      <c r="E111" t="s">
        <v>71</v>
      </c>
      <c r="F111" s="4">
        <v>197</v>
      </c>
      <c r="G111" t="s">
        <v>1125</v>
      </c>
      <c r="H11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11" s="1">
        <f>(Tabella15[[#This Row],[ALL5]]+Tabella15[[#This Row],[ALL6]]+Tabella15[[#This Row],[ALL22]]+Tabella15[[#This Row],[ALL32]]+Tabella15[[#This Row],[ALL7]]+Tabella15[[#This Row],[ALL8]])</f>
        <v>1</v>
      </c>
      <c r="J111"/>
      <c r="M111" s="21">
        <f>Tabella15[[#This Row],[IOT SPECFIC]]+Tabella15[[#This Row],[MBSE]]+Tabella15[[#This Row],[NEW MODEL]]</f>
        <v>0</v>
      </c>
      <c r="N111" s="21">
        <f>IF(Tabella15[[#This Row],[ALL]]&gt;0,1,0)</f>
        <v>0</v>
      </c>
      <c r="O111" s="1"/>
      <c r="P111" s="21">
        <f>IF(Tabella15[[#This Row],[DEPLOYMENT]]&gt;0,1,0)</f>
        <v>0</v>
      </c>
      <c r="Q111"/>
      <c r="T111" s="21">
        <f>Tabella15[[#This Row],[issues]]+Tabella15[[#This Row],[High Level]]+Tabella15[[#This Row],[ORCHESTRATION]]</f>
        <v>0</v>
      </c>
      <c r="U111" s="21">
        <f>IF(Tabella15[[#This Row],[ALL2]]&gt;0,1,0)</f>
        <v>0</v>
      </c>
      <c r="V111"/>
      <c r="Y111" s="21">
        <f>Tabella15[[#This Row],[Logginh]]+Tabella15[[#This Row],[Monitoring]]+Tabella15[[#This Row],[Performance]]</f>
        <v>0</v>
      </c>
      <c r="Z111" s="21">
        <f>IF(Tabella15[[#This Row],[ALL3]]&gt;0,1,0)</f>
        <v>0</v>
      </c>
      <c r="AA111" s="1"/>
      <c r="AB111" s="21">
        <f>IF(Tabella15[[#This Row],[TESTING]]&gt;0,1,0)</f>
        <v>0</v>
      </c>
      <c r="AC111"/>
      <c r="AF111">
        <v>1</v>
      </c>
      <c r="AH111" s="21">
        <f>Tabella15[[#This Row],[PRIVACY]]+Tabella15[[#This Row],[MATURITY MODEL]]+Tabella15[[#This Row],[ADDITIONAL]]+Tabella15[[#This Row],[DEVSECOPS]]+Tabella15[[#This Row],[SECURITY]]</f>
        <v>1</v>
      </c>
      <c r="AI111" s="21">
        <f>IF(Tabella15[[#This Row],[ALL4]]&gt;0,1,0)</f>
        <v>1</v>
      </c>
      <c r="AJ111" s="1"/>
      <c r="AK111" s="1">
        <v>2</v>
      </c>
      <c r="AL111" s="1">
        <f>(Tabella15[[#This Row],[ALL5]]+Tabella15[[#This Row],[ALL6]]+Tabella15[[#This Row],[ALL22]]+Tabella15[[#This Row],[ALL32]]+Tabella15[[#This Row],[ALL7]]+Tabella15[[#This Row],[ALL8]])*Tabella15[[#This Row],[Citazioni distinte]]</f>
        <v>2</v>
      </c>
      <c r="AM111" s="1">
        <f>(Tabella15[[#This Row],[ALL5]]+Tabella15[[#This Row],[ALL6]]+Tabella15[[#This Row],[ALL22]]+Tabella15[[#This Row],[ALL32]]+Tabella15[[#This Row],[ALL7]]+Tabella15[[#This Row],[ALL8]])*Tabella15[[#This Row],[PUNTO]]</f>
        <v>1.32</v>
      </c>
      <c r="AN111" s="6" t="s">
        <v>102</v>
      </c>
      <c r="AO111" s="1">
        <v>11</v>
      </c>
      <c r="AP111" s="1" t="s">
        <v>74</v>
      </c>
      <c r="AQ111" s="1" t="s">
        <v>75</v>
      </c>
      <c r="AR111" s="1" t="s">
        <v>75</v>
      </c>
      <c r="AS111" s="1" t="s">
        <v>327</v>
      </c>
      <c r="AT111" s="1" t="s">
        <v>76</v>
      </c>
      <c r="AU111" s="1" t="s">
        <v>77</v>
      </c>
      <c r="AV111" t="s">
        <v>1126</v>
      </c>
      <c r="AW111">
        <v>2020</v>
      </c>
      <c r="AX111" t="s">
        <v>1127</v>
      </c>
      <c r="AY111" t="s">
        <v>1128</v>
      </c>
      <c r="AZ111" t="s">
        <v>1129</v>
      </c>
      <c r="BB111" t="s">
        <v>284</v>
      </c>
      <c r="BE111" t="s">
        <v>256</v>
      </c>
      <c r="BF111" t="s">
        <v>1131</v>
      </c>
      <c r="BG111" t="s">
        <v>1132</v>
      </c>
      <c r="BH111" t="s">
        <v>88</v>
      </c>
      <c r="BI111" t="s">
        <v>1130</v>
      </c>
      <c r="BJ111" s="1">
        <v>2</v>
      </c>
      <c r="BK111" s="1">
        <v>0</v>
      </c>
      <c r="BL111" s="1">
        <v>1</v>
      </c>
      <c r="BM111" s="1">
        <v>0</v>
      </c>
      <c r="BN111" s="1">
        <v>2</v>
      </c>
      <c r="BO111"/>
    </row>
    <row r="112" spans="1:67" x14ac:dyDescent="0.55000000000000004">
      <c r="A112" t="s">
        <v>715</v>
      </c>
      <c r="B112" t="s">
        <v>68</v>
      </c>
      <c r="D112" t="s">
        <v>100</v>
      </c>
      <c r="F112" s="4">
        <v>201</v>
      </c>
      <c r="G112" t="s">
        <v>1133</v>
      </c>
      <c r="H11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12" s="1">
        <f>(Tabella15[[#This Row],[ALL5]]+Tabella15[[#This Row],[ALL6]]+Tabella15[[#This Row],[ALL22]]+Tabella15[[#This Row],[ALL32]]+Tabella15[[#This Row],[ALL7]]+Tabella15[[#This Row],[ALL8]])</f>
        <v>3</v>
      </c>
      <c r="J112"/>
      <c r="L112">
        <v>1</v>
      </c>
      <c r="M112" s="21">
        <f>Tabella15[[#This Row],[IOT SPECFIC]]+Tabella15[[#This Row],[MBSE]]+Tabella15[[#This Row],[NEW MODEL]]</f>
        <v>1</v>
      </c>
      <c r="N112" s="21">
        <f>IF(Tabella15[[#This Row],[ALL]]&gt;0,1,0)</f>
        <v>1</v>
      </c>
      <c r="O112" s="1">
        <v>3</v>
      </c>
      <c r="P112" s="21">
        <f>IF(Tabella15[[#This Row],[DEPLOYMENT]]&gt;0,1,0)</f>
        <v>1</v>
      </c>
      <c r="Q112"/>
      <c r="T112" s="21">
        <f>Tabella15[[#This Row],[issues]]+Tabella15[[#This Row],[High Level]]+Tabella15[[#This Row],[ORCHESTRATION]]</f>
        <v>0</v>
      </c>
      <c r="U112" s="21">
        <f>IF(Tabella15[[#This Row],[ALL2]]&gt;0,1,0)</f>
        <v>0</v>
      </c>
      <c r="V112"/>
      <c r="Y112" s="21">
        <f>Tabella15[[#This Row],[Logginh]]+Tabella15[[#This Row],[Monitoring]]+Tabella15[[#This Row],[Performance]]</f>
        <v>0</v>
      </c>
      <c r="Z112" s="21">
        <f>IF(Tabella15[[#This Row],[ALL3]]&gt;0,1,0)</f>
        <v>0</v>
      </c>
      <c r="AA112" s="1"/>
      <c r="AB112" s="21">
        <f>IF(Tabella15[[#This Row],[TESTING]]&gt;0,1,0)</f>
        <v>0</v>
      </c>
      <c r="AC112"/>
      <c r="AD112">
        <v>1</v>
      </c>
      <c r="AH112" s="21">
        <f>Tabella15[[#This Row],[PRIVACY]]+Tabella15[[#This Row],[MATURITY MODEL]]+Tabella15[[#This Row],[ADDITIONAL]]+Tabella15[[#This Row],[DEVSECOPS]]+Tabella15[[#This Row],[SECURITY]]</f>
        <v>1</v>
      </c>
      <c r="AI112" s="21">
        <f>IF(Tabella15[[#This Row],[ALL4]]&gt;0,1,0)</f>
        <v>1</v>
      </c>
      <c r="AJ112" s="1">
        <v>-1</v>
      </c>
      <c r="AK112" s="1">
        <v>4</v>
      </c>
      <c r="AL112" s="1">
        <f>(Tabella15[[#This Row],[ALL5]]+Tabella15[[#This Row],[ALL6]]+Tabella15[[#This Row],[ALL22]]+Tabella15[[#This Row],[ALL32]]+Tabella15[[#This Row],[ALL7]]+Tabella15[[#This Row],[ALL8]])*Tabella15[[#This Row],[Citazioni distinte]]</f>
        <v>12</v>
      </c>
      <c r="AM112" s="1">
        <f>(Tabella15[[#This Row],[ALL5]]+Tabella15[[#This Row],[ALL6]]+Tabella15[[#This Row],[ALL22]]+Tabella15[[#This Row],[ALL32]]+Tabella15[[#This Row],[ALL7]]+Tabella15[[#This Row],[ALL8]])*Tabella15[[#This Row],[PUNTO]]</f>
        <v>3.96</v>
      </c>
      <c r="AN112" s="6" t="s">
        <v>164</v>
      </c>
      <c r="AO112" s="1">
        <v>18</v>
      </c>
      <c r="AP112" s="1" t="s">
        <v>74</v>
      </c>
      <c r="AQ112" s="1" t="s">
        <v>75</v>
      </c>
      <c r="AR112" s="1" t="s">
        <v>75</v>
      </c>
      <c r="AS112" s="1" t="s">
        <v>327</v>
      </c>
      <c r="AT112" s="1" t="s">
        <v>76</v>
      </c>
      <c r="AU112" s="1" t="s">
        <v>77</v>
      </c>
      <c r="AV112" t="s">
        <v>1134</v>
      </c>
      <c r="AW112">
        <v>2020</v>
      </c>
      <c r="AX112" t="s">
        <v>1135</v>
      </c>
      <c r="AY112" s="2" t="s">
        <v>1136</v>
      </c>
      <c r="BE112" t="s">
        <v>100</v>
      </c>
      <c r="BF112" t="s">
        <v>1138</v>
      </c>
      <c r="BG112" t="s">
        <v>1139</v>
      </c>
      <c r="BH112" t="s">
        <v>336</v>
      </c>
      <c r="BI112" t="s">
        <v>1137</v>
      </c>
      <c r="BJ112" s="1">
        <v>4</v>
      </c>
      <c r="BK112" s="1">
        <v>0</v>
      </c>
      <c r="BL112" s="1">
        <v>0</v>
      </c>
      <c r="BM112" s="1">
        <v>0</v>
      </c>
      <c r="BN112" s="1">
        <v>4</v>
      </c>
      <c r="BO112"/>
    </row>
    <row r="113" spans="1:67" x14ac:dyDescent="0.55000000000000004">
      <c r="D113" t="s">
        <v>85</v>
      </c>
      <c r="F113" s="4">
        <v>202</v>
      </c>
      <c r="G113" t="s">
        <v>1140</v>
      </c>
      <c r="H113"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1.32</v>
      </c>
      <c r="I113" s="1">
        <f>(Tabella15[[#This Row],[ALL5]]+Tabella15[[#This Row],[ALL6]]+Tabella15[[#This Row],[ALL22]]+Tabella15[[#This Row],[ALL32]]+Tabella15[[#This Row],[ALL7]]+Tabella15[[#This Row],[ALL8]])</f>
        <v>1</v>
      </c>
      <c r="J113"/>
      <c r="M113" s="21">
        <f>Tabella15[[#This Row],[IOT SPECFIC]]+Tabella15[[#This Row],[MBSE]]+Tabella15[[#This Row],[NEW MODEL]]</f>
        <v>0</v>
      </c>
      <c r="N113" s="21">
        <f>IF(Tabella15[[#This Row],[ALL]]&gt;0,1,0)</f>
        <v>0</v>
      </c>
      <c r="O113" s="1">
        <v>3</v>
      </c>
      <c r="P113" s="21">
        <f>IF(Tabella15[[#This Row],[DEPLOYMENT]]&gt;0,1,0)</f>
        <v>1</v>
      </c>
      <c r="Q113"/>
      <c r="T113" s="21">
        <f>Tabella15[[#This Row],[issues]]+Tabella15[[#This Row],[High Level]]+Tabella15[[#This Row],[ORCHESTRATION]]</f>
        <v>0</v>
      </c>
      <c r="U113" s="21">
        <f>IF(Tabella15[[#This Row],[ALL2]]&gt;0,1,0)</f>
        <v>0</v>
      </c>
      <c r="V113"/>
      <c r="Y113" s="21">
        <f>Tabella15[[#This Row],[Logginh]]+Tabella15[[#This Row],[Monitoring]]+Tabella15[[#This Row],[Performance]]</f>
        <v>0</v>
      </c>
      <c r="Z113" s="21">
        <f>IF(Tabella15[[#This Row],[ALL3]]&gt;0,1,0)</f>
        <v>0</v>
      </c>
      <c r="AA113" s="1"/>
      <c r="AB113" s="21">
        <f>IF(Tabella15[[#This Row],[TESTING]]&gt;0,1,0)</f>
        <v>0</v>
      </c>
      <c r="AC113"/>
      <c r="AH113" s="21">
        <f>Tabella15[[#This Row],[PRIVACY]]+Tabella15[[#This Row],[MATURITY MODEL]]+Tabella15[[#This Row],[ADDITIONAL]]+Tabella15[[#This Row],[DEVSECOPS]]+Tabella15[[#This Row],[SECURITY]]</f>
        <v>0</v>
      </c>
      <c r="AI113" s="21">
        <f>IF(Tabella15[[#This Row],[ALL4]]&gt;0,1,0)</f>
        <v>0</v>
      </c>
      <c r="AJ113" s="1"/>
      <c r="AK113" s="1">
        <v>2</v>
      </c>
      <c r="AL113" s="1">
        <f>(Tabella15[[#This Row],[ALL5]]+Tabella15[[#This Row],[ALL6]]+Tabella15[[#This Row],[ALL22]]+Tabella15[[#This Row],[ALL32]]+Tabella15[[#This Row],[ALL7]]+Tabella15[[#This Row],[ALL8]])*Tabella15[[#This Row],[Citazioni distinte]]</f>
        <v>2</v>
      </c>
      <c r="AM113" s="1">
        <f>(Tabella15[[#This Row],[ALL5]]+Tabella15[[#This Row],[ALL6]]+Tabella15[[#This Row],[ALL22]]+Tabella15[[#This Row],[ALL32]]+Tabella15[[#This Row],[ALL7]]+Tabella15[[#This Row],[ALL8]])*Tabella15[[#This Row],[PUNTO]]</f>
        <v>1.32</v>
      </c>
      <c r="AN113" s="6" t="s">
        <v>71</v>
      </c>
      <c r="AO113" s="1">
        <v>6</v>
      </c>
      <c r="AP113" s="5" t="s">
        <v>75</v>
      </c>
      <c r="AQ113" s="5" t="s">
        <v>75</v>
      </c>
      <c r="AR113" s="5" t="s">
        <v>75</v>
      </c>
      <c r="AS113" s="5" t="s">
        <v>75</v>
      </c>
      <c r="AT113" s="5" t="s">
        <v>76</v>
      </c>
      <c r="AU113" s="5" t="s">
        <v>77</v>
      </c>
      <c r="AV113" t="s">
        <v>1141</v>
      </c>
      <c r="AW113">
        <v>2022</v>
      </c>
      <c r="AX113" t="s">
        <v>1142</v>
      </c>
      <c r="AY113" s="2" t="s">
        <v>1143</v>
      </c>
      <c r="AZ113" t="s">
        <v>1144</v>
      </c>
      <c r="BA113" t="s">
        <v>60</v>
      </c>
      <c r="BB113" t="s">
        <v>206</v>
      </c>
      <c r="BC113" t="s">
        <v>1145</v>
      </c>
      <c r="BE113" t="s">
        <v>85</v>
      </c>
      <c r="BF113" t="s">
        <v>1146</v>
      </c>
      <c r="BG113" t="s">
        <v>1147</v>
      </c>
      <c r="BH113" t="s">
        <v>88</v>
      </c>
      <c r="BJ113" s="1">
        <v>2</v>
      </c>
      <c r="BK113" s="1">
        <v>0</v>
      </c>
      <c r="BL113" s="1">
        <v>0</v>
      </c>
      <c r="BM113" s="1">
        <v>0</v>
      </c>
      <c r="BN113" s="1">
        <v>2</v>
      </c>
      <c r="BO113"/>
    </row>
    <row r="114" spans="1:67" x14ac:dyDescent="0.55000000000000004">
      <c r="A114" s="3"/>
      <c r="C114" s="3"/>
      <c r="D114" t="s">
        <v>131</v>
      </c>
      <c r="E114" s="3" t="s">
        <v>102</v>
      </c>
      <c r="F114" s="3">
        <v>205</v>
      </c>
      <c r="G114" s="3" t="s">
        <v>1148</v>
      </c>
      <c r="H114"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2.6500000000000004</v>
      </c>
      <c r="I114" s="1">
        <f>(Tabella15[[#This Row],[ALL5]]+Tabella15[[#This Row],[ALL6]]+Tabella15[[#This Row],[ALL22]]+Tabella15[[#This Row],[ALL32]]+Tabella15[[#This Row],[ALL7]]+Tabella15[[#This Row],[ALL8]])</f>
        <v>2</v>
      </c>
      <c r="J114" s="3"/>
      <c r="K114" s="3"/>
      <c r="L114" s="3">
        <v>1</v>
      </c>
      <c r="M114" s="22">
        <f>Tabella15[[#This Row],[IOT SPECFIC]]+Tabella15[[#This Row],[MBSE]]+Tabella15[[#This Row],[NEW MODEL]]</f>
        <v>1</v>
      </c>
      <c r="N114" s="22">
        <f>IF(Tabella15[[#This Row],[ALL]]&gt;0,1,0)</f>
        <v>1</v>
      </c>
      <c r="O114" s="5">
        <v>3</v>
      </c>
      <c r="P114" s="22">
        <f>IF(Tabella15[[#This Row],[DEPLOYMENT]]&gt;0,1,0)</f>
        <v>1</v>
      </c>
      <c r="Q114" s="3"/>
      <c r="R114" s="3"/>
      <c r="S114" s="3"/>
      <c r="T114" s="22">
        <f>Tabella15[[#This Row],[issues]]+Tabella15[[#This Row],[High Level]]+Tabella15[[#This Row],[ORCHESTRATION]]</f>
        <v>0</v>
      </c>
      <c r="U114" s="22">
        <f>IF(Tabella15[[#This Row],[ALL2]]&gt;0,1,0)</f>
        <v>0</v>
      </c>
      <c r="V114" s="3"/>
      <c r="W114" s="3"/>
      <c r="X114" s="3"/>
      <c r="Y114" s="22">
        <f>Tabella15[[#This Row],[Logginh]]+Tabella15[[#This Row],[Monitoring]]+Tabella15[[#This Row],[Performance]]</f>
        <v>0</v>
      </c>
      <c r="Z114" s="22">
        <f>IF(Tabella15[[#This Row],[ALL3]]&gt;0,1,0)</f>
        <v>0</v>
      </c>
      <c r="AA114" s="5"/>
      <c r="AB114" s="22">
        <f>IF(Tabella15[[#This Row],[TESTING]]&gt;0,1,0)</f>
        <v>0</v>
      </c>
      <c r="AC114" s="3"/>
      <c r="AD114" s="3"/>
      <c r="AE114" s="3"/>
      <c r="AF114" s="3"/>
      <c r="AG114" s="3"/>
      <c r="AH114" s="22">
        <f>Tabella15[[#This Row],[PRIVACY]]+Tabella15[[#This Row],[MATURITY MODEL]]+Tabella15[[#This Row],[ADDITIONAL]]+Tabella15[[#This Row],[DEVSECOPS]]+Tabella15[[#This Row],[SECURITY]]</f>
        <v>0</v>
      </c>
      <c r="AI114" s="22">
        <f>IF(Tabella15[[#This Row],[ALL4]]&gt;0,1,0)</f>
        <v>0</v>
      </c>
      <c r="AJ114" s="5"/>
      <c r="AK114" s="5">
        <v>34</v>
      </c>
      <c r="AL114" s="5">
        <f>(Tabella15[[#This Row],[ALL5]]+Tabella15[[#This Row],[ALL6]]+Tabella15[[#This Row],[ALL22]]+Tabella15[[#This Row],[ALL32]]+Tabella15[[#This Row],[ALL7]]+Tabella15[[#This Row],[ALL8]])*Tabella15[[#This Row],[Citazioni distinte]]</f>
        <v>68</v>
      </c>
      <c r="AM114" s="1">
        <f>(Tabella15[[#This Row],[ALL5]]+Tabella15[[#This Row],[ALL6]]+Tabella15[[#This Row],[ALL22]]+Tabella15[[#This Row],[ALL32]]+Tabella15[[#This Row],[ALL7]]+Tabella15[[#This Row],[ALL8]])*Tabella15[[#This Row],[PUNTO]]</f>
        <v>5.3000000000000007</v>
      </c>
      <c r="AN114" s="7" t="s">
        <v>164</v>
      </c>
      <c r="AO114" s="5">
        <v>25</v>
      </c>
      <c r="AP114" s="5" t="s">
        <v>102</v>
      </c>
      <c r="AQ114" s="5" t="s">
        <v>74</v>
      </c>
      <c r="AR114" s="5" t="s">
        <v>74</v>
      </c>
      <c r="AS114" s="5" t="s">
        <v>75</v>
      </c>
      <c r="AT114" s="5" t="s">
        <v>76</v>
      </c>
      <c r="AU114" s="5" t="s">
        <v>77</v>
      </c>
      <c r="AV114" t="s">
        <v>1149</v>
      </c>
      <c r="AW114" s="3">
        <v>2020</v>
      </c>
      <c r="AX114" s="3" t="s">
        <v>1150</v>
      </c>
      <c r="AY114" t="s">
        <v>1151</v>
      </c>
      <c r="AZ114" t="s">
        <v>1152</v>
      </c>
      <c r="BE114" t="s">
        <v>131</v>
      </c>
      <c r="BF114" t="s">
        <v>249</v>
      </c>
      <c r="BG114" t="s">
        <v>1153</v>
      </c>
      <c r="BH114" t="s">
        <v>88</v>
      </c>
      <c r="BJ114" s="1">
        <v>33</v>
      </c>
      <c r="BK114" s="1">
        <v>0</v>
      </c>
      <c r="BL114" s="1">
        <v>27</v>
      </c>
      <c r="BM114" s="1">
        <v>0</v>
      </c>
      <c r="BN114" s="1">
        <v>34</v>
      </c>
      <c r="BO114"/>
    </row>
    <row r="115" spans="1:67" x14ac:dyDescent="0.55000000000000004">
      <c r="D115" t="s">
        <v>256</v>
      </c>
      <c r="F115">
        <v>208</v>
      </c>
      <c r="G115" t="s">
        <v>1154</v>
      </c>
      <c r="H115"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v>
      </c>
      <c r="I115" s="1">
        <f>(Tabella15[[#This Row],[ALL5]]+Tabella15[[#This Row],[ALL6]]+Tabella15[[#This Row],[ALL22]]+Tabella15[[#This Row],[ALL32]]+Tabella15[[#This Row],[ALL7]]+Tabella15[[#This Row],[ALL8]])</f>
        <v>1</v>
      </c>
      <c r="J115"/>
      <c r="M115" s="21">
        <f>Tabella15[[#This Row],[IOT SPECFIC]]+Tabella15[[#This Row],[MBSE]]+Tabella15[[#This Row],[NEW MODEL]]</f>
        <v>0</v>
      </c>
      <c r="N115" s="21">
        <f>IF(Tabella15[[#This Row],[ALL]]&gt;0,1,0)</f>
        <v>0</v>
      </c>
      <c r="O115" s="1"/>
      <c r="P115" s="21">
        <f>IF(Tabella15[[#This Row],[DEPLOYMENT]]&gt;0,1,0)</f>
        <v>0</v>
      </c>
      <c r="Q115"/>
      <c r="T115" s="21">
        <f>Tabella15[[#This Row],[issues]]+Tabella15[[#This Row],[High Level]]+Tabella15[[#This Row],[ORCHESTRATION]]</f>
        <v>0</v>
      </c>
      <c r="U115" s="21">
        <f>IF(Tabella15[[#This Row],[ALL2]]&gt;0,1,0)</f>
        <v>0</v>
      </c>
      <c r="V115"/>
      <c r="Y115" s="21">
        <f>Tabella15[[#This Row],[Logginh]]+Tabella15[[#This Row],[Monitoring]]+Tabella15[[#This Row],[Performance]]</f>
        <v>0</v>
      </c>
      <c r="Z115" s="21">
        <f>IF(Tabella15[[#This Row],[ALL3]]&gt;0,1,0)</f>
        <v>0</v>
      </c>
      <c r="AA115" s="1"/>
      <c r="AB115" s="21">
        <f>IF(Tabella15[[#This Row],[TESTING]]&gt;0,1,0)</f>
        <v>0</v>
      </c>
      <c r="AC115">
        <v>1</v>
      </c>
      <c r="AH115" s="21">
        <f>Tabella15[[#This Row],[PRIVACY]]+Tabella15[[#This Row],[MATURITY MODEL]]+Tabella15[[#This Row],[ADDITIONAL]]+Tabella15[[#This Row],[DEVSECOPS]]+Tabella15[[#This Row],[SECURITY]]</f>
        <v>1</v>
      </c>
      <c r="AI115" s="21">
        <f>IF(Tabella15[[#This Row],[ALL4]]&gt;0,1,0)</f>
        <v>1</v>
      </c>
      <c r="AJ115" s="1"/>
      <c r="AK115" s="1">
        <v>2</v>
      </c>
      <c r="AL115" s="1">
        <f>(Tabella15[[#This Row],[ALL5]]+Tabella15[[#This Row],[ALL6]]+Tabella15[[#This Row],[ALL22]]+Tabella15[[#This Row],[ALL32]]+Tabella15[[#This Row],[ALL7]]+Tabella15[[#This Row],[ALL8]])*Tabella15[[#This Row],[Citazioni distinte]]</f>
        <v>2</v>
      </c>
      <c r="AM115" s="1">
        <f>(Tabella15[[#This Row],[ALL5]]+Tabella15[[#This Row],[ALL6]]+Tabella15[[#This Row],[ALL22]]+Tabella15[[#This Row],[ALL32]]+Tabella15[[#This Row],[ALL7]]+Tabella15[[#This Row],[ALL8]])*Tabella15[[#This Row],[PUNTO]]</f>
        <v>1.98</v>
      </c>
      <c r="AN115" s="6" t="s">
        <v>164</v>
      </c>
      <c r="AO115" s="1">
        <v>9</v>
      </c>
      <c r="AP115" s="1" t="s">
        <v>74</v>
      </c>
      <c r="AQ115" s="1" t="s">
        <v>75</v>
      </c>
      <c r="AR115" s="1" t="s">
        <v>74</v>
      </c>
      <c r="AS115" s="1" t="s">
        <v>75</v>
      </c>
      <c r="AT115" s="1" t="s">
        <v>76</v>
      </c>
      <c r="AU115" s="1" t="s">
        <v>77</v>
      </c>
      <c r="AV115" t="s">
        <v>1155</v>
      </c>
      <c r="AW115">
        <v>2024</v>
      </c>
      <c r="AX115" t="s">
        <v>1156</v>
      </c>
      <c r="AZ115" t="s">
        <v>1157</v>
      </c>
      <c r="BE115" t="s">
        <v>256</v>
      </c>
      <c r="BF115" t="s">
        <v>1158</v>
      </c>
      <c r="BG115" t="s">
        <v>88</v>
      </c>
      <c r="BH115" t="s">
        <v>1159</v>
      </c>
      <c r="BJ115" s="1">
        <v>2</v>
      </c>
      <c r="BK115" s="1">
        <v>0</v>
      </c>
      <c r="BL115" s="1">
        <v>2</v>
      </c>
      <c r="BM115" s="1">
        <v>2</v>
      </c>
      <c r="BN115" s="1">
        <v>2</v>
      </c>
      <c r="BO115"/>
    </row>
    <row r="116" spans="1:67" x14ac:dyDescent="0.55000000000000004">
      <c r="B116" s="3" t="s">
        <v>122</v>
      </c>
      <c r="C116" s="3" t="s">
        <v>123</v>
      </c>
      <c r="D116" t="s">
        <v>256</v>
      </c>
      <c r="E116" s="3" t="s">
        <v>102</v>
      </c>
      <c r="F116" s="19">
        <v>209</v>
      </c>
      <c r="G116" s="3" t="s">
        <v>1160</v>
      </c>
      <c r="H116"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2.9800000000000004</v>
      </c>
      <c r="I116" s="1">
        <f>(Tabella15[[#This Row],[ALL5]]+Tabella15[[#This Row],[ALL6]]+Tabella15[[#This Row],[ALL22]]+Tabella15[[#This Row],[ALL32]]+Tabella15[[#This Row],[ALL7]]+Tabella15[[#This Row],[ALL8]])</f>
        <v>1</v>
      </c>
      <c r="J116"/>
      <c r="M116" s="21">
        <f>Tabella15[[#This Row],[IOT SPECFIC]]+Tabella15[[#This Row],[MBSE]]+Tabella15[[#This Row],[NEW MODEL]]</f>
        <v>0</v>
      </c>
      <c r="N116" s="21">
        <f>IF(Tabella15[[#This Row],[ALL]]&gt;0,1,0)</f>
        <v>0</v>
      </c>
      <c r="O116" s="1"/>
      <c r="P116" s="21">
        <f>IF(Tabella15[[#This Row],[DEPLOYMENT]]&gt;0,1,0)</f>
        <v>0</v>
      </c>
      <c r="Q116"/>
      <c r="T116" s="21">
        <f>Tabella15[[#This Row],[issues]]+Tabella15[[#This Row],[High Level]]+Tabella15[[#This Row],[ORCHESTRATION]]</f>
        <v>0</v>
      </c>
      <c r="U116" s="21">
        <f>IF(Tabella15[[#This Row],[ALL2]]&gt;0,1,0)</f>
        <v>0</v>
      </c>
      <c r="V116"/>
      <c r="Y116" s="21">
        <f>Tabella15[[#This Row],[Logginh]]+Tabella15[[#This Row],[Monitoring]]+Tabella15[[#This Row],[Performance]]</f>
        <v>0</v>
      </c>
      <c r="Z116" s="21">
        <f>IF(Tabella15[[#This Row],[ALL3]]&gt;0,1,0)</f>
        <v>0</v>
      </c>
      <c r="AA116" s="1"/>
      <c r="AB116" s="21">
        <f>IF(Tabella15[[#This Row],[TESTING]]&gt;0,1,0)</f>
        <v>0</v>
      </c>
      <c r="AC116">
        <v>1</v>
      </c>
      <c r="AH116" s="21">
        <f>Tabella15[[#This Row],[PRIVACY]]+Tabella15[[#This Row],[MATURITY MODEL]]+Tabella15[[#This Row],[ADDITIONAL]]+Tabella15[[#This Row],[DEVSECOPS]]+Tabella15[[#This Row],[SECURITY]]</f>
        <v>1</v>
      </c>
      <c r="AI116" s="21">
        <f>IF(Tabella15[[#This Row],[ALL4]]&gt;0,1,0)</f>
        <v>1</v>
      </c>
      <c r="AJ116" s="1"/>
      <c r="AK116" s="1">
        <v>5</v>
      </c>
      <c r="AL116" s="1">
        <f>(Tabella15[[#This Row],[ALL5]]+Tabella15[[#This Row],[ALL6]]+Tabella15[[#This Row],[ALL22]]+Tabella15[[#This Row],[ALL32]]+Tabella15[[#This Row],[ALL7]]+Tabella15[[#This Row],[ALL8]])*Tabella15[[#This Row],[Citazioni distinte]]</f>
        <v>5</v>
      </c>
      <c r="AM116" s="1">
        <f>(Tabella15[[#This Row],[ALL5]]+Tabella15[[#This Row],[ALL6]]+Tabella15[[#This Row],[ALL22]]+Tabella15[[#This Row],[ALL32]]+Tabella15[[#This Row],[ALL7]]+Tabella15[[#This Row],[ALL8]])*Tabella15[[#This Row],[PUNTO]]</f>
        <v>2.9800000000000004</v>
      </c>
      <c r="AN116" s="6" t="s">
        <v>164</v>
      </c>
      <c r="AO116" s="1">
        <v>29</v>
      </c>
      <c r="AP116" s="5" t="s">
        <v>102</v>
      </c>
      <c r="AQ116" s="5" t="s">
        <v>74</v>
      </c>
      <c r="AR116" s="5" t="s">
        <v>74</v>
      </c>
      <c r="AS116" s="5" t="s">
        <v>74</v>
      </c>
      <c r="AT116" s="1" t="s">
        <v>77</v>
      </c>
      <c r="AU116" s="1" t="s">
        <v>77</v>
      </c>
      <c r="AV116"/>
      <c r="BE116" t="s">
        <v>256</v>
      </c>
      <c r="BF116" t="s">
        <v>1161</v>
      </c>
      <c r="BG116" t="s">
        <v>1162</v>
      </c>
      <c r="BH116" t="s">
        <v>88</v>
      </c>
      <c r="BJ116" s="6">
        <v>0</v>
      </c>
      <c r="BK116" s="1">
        <v>25</v>
      </c>
      <c r="BL116" s="1">
        <v>0</v>
      </c>
      <c r="BM116" s="1">
        <v>0</v>
      </c>
      <c r="BN116" s="1">
        <v>25</v>
      </c>
      <c r="BO116"/>
    </row>
    <row r="117" spans="1:67" x14ac:dyDescent="0.55000000000000004">
      <c r="B117" t="s">
        <v>122</v>
      </c>
      <c r="C117" t="s">
        <v>123</v>
      </c>
      <c r="D117" t="s">
        <v>85</v>
      </c>
      <c r="E117" t="s">
        <v>102</v>
      </c>
      <c r="F117" s="4">
        <v>210</v>
      </c>
      <c r="G117" t="s">
        <v>1163</v>
      </c>
      <c r="H117"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2.64</v>
      </c>
      <c r="I117" s="1">
        <f>(Tabella15[[#This Row],[ALL5]]+Tabella15[[#This Row],[ALL6]]+Tabella15[[#This Row],[ALL22]]+Tabella15[[#This Row],[ALL32]]+Tabella15[[#This Row],[ALL7]]+Tabella15[[#This Row],[ALL8]])</f>
        <v>2</v>
      </c>
      <c r="J117"/>
      <c r="L117">
        <v>1</v>
      </c>
      <c r="M117" s="21">
        <f>Tabella15[[#This Row],[IOT SPECFIC]]+Tabella15[[#This Row],[MBSE]]+Tabella15[[#This Row],[NEW MODEL]]</f>
        <v>1</v>
      </c>
      <c r="N117" s="21">
        <f>IF(Tabella15[[#This Row],[ALL]]&gt;0,1,0)</f>
        <v>1</v>
      </c>
      <c r="O117" s="1">
        <v>3</v>
      </c>
      <c r="P117" s="21">
        <f>IF(Tabella15[[#This Row],[DEPLOYMENT]]&gt;0,1,0)</f>
        <v>1</v>
      </c>
      <c r="Q117"/>
      <c r="T117" s="21">
        <f>Tabella15[[#This Row],[issues]]+Tabella15[[#This Row],[High Level]]+Tabella15[[#This Row],[ORCHESTRATION]]</f>
        <v>0</v>
      </c>
      <c r="U117" s="21">
        <f>IF(Tabella15[[#This Row],[ALL2]]&gt;0,1,0)</f>
        <v>0</v>
      </c>
      <c r="V117"/>
      <c r="Y117" s="21">
        <f>Tabella15[[#This Row],[Logginh]]+Tabella15[[#This Row],[Monitoring]]+Tabella15[[#This Row],[Performance]]</f>
        <v>0</v>
      </c>
      <c r="Z117" s="21">
        <f>IF(Tabella15[[#This Row],[ALL3]]&gt;0,1,0)</f>
        <v>0</v>
      </c>
      <c r="AA117" s="1"/>
      <c r="AB117" s="21">
        <f>IF(Tabella15[[#This Row],[TESTING]]&gt;0,1,0)</f>
        <v>0</v>
      </c>
      <c r="AC117"/>
      <c r="AH117" s="21">
        <f>Tabella15[[#This Row],[PRIVACY]]+Tabella15[[#This Row],[MATURITY MODEL]]+Tabella15[[#This Row],[ADDITIONAL]]+Tabella15[[#This Row],[DEVSECOPS]]+Tabella15[[#This Row],[SECURITY]]</f>
        <v>0</v>
      </c>
      <c r="AI117" s="21">
        <f>IF(Tabella15[[#This Row],[ALL4]]&gt;0,1,0)</f>
        <v>0</v>
      </c>
      <c r="AJ117" s="1"/>
      <c r="AK117" s="1">
        <v>5</v>
      </c>
      <c r="AL117" s="1">
        <f>(Tabella15[[#This Row],[ALL5]]+Tabella15[[#This Row],[ALL6]]+Tabella15[[#This Row],[ALL22]]+Tabella15[[#This Row],[ALL32]]+Tabella15[[#This Row],[ALL7]]+Tabella15[[#This Row],[ALL8]])*Tabella15[[#This Row],[Citazioni distinte]]</f>
        <v>10</v>
      </c>
      <c r="AM117" s="1">
        <f>(Tabella15[[#This Row],[ALL5]]+Tabella15[[#This Row],[ALL6]]+Tabella15[[#This Row],[ALL22]]+Tabella15[[#This Row],[ALL32]]+Tabella15[[#This Row],[ALL7]]+Tabella15[[#This Row],[ALL8]])*Tabella15[[#This Row],[PUNTO]]</f>
        <v>5.28</v>
      </c>
      <c r="AN117" s="6" t="s">
        <v>164</v>
      </c>
      <c r="AO117" s="1">
        <v>31</v>
      </c>
      <c r="AP117" s="1" t="s">
        <v>74</v>
      </c>
      <c r="AQ117" s="1" t="s">
        <v>74</v>
      </c>
      <c r="AR117" s="1" t="s">
        <v>74</v>
      </c>
      <c r="AS117" s="1" t="s">
        <v>74</v>
      </c>
      <c r="AT117" s="1" t="s">
        <v>77</v>
      </c>
      <c r="AU117" s="1" t="s">
        <v>77</v>
      </c>
      <c r="AV117"/>
      <c r="BE117" t="s">
        <v>85</v>
      </c>
      <c r="BF117" t="s">
        <v>1164</v>
      </c>
      <c r="BG117" t="s">
        <v>1165</v>
      </c>
      <c r="BH117" t="s">
        <v>88</v>
      </c>
      <c r="BJ117" s="6">
        <v>0</v>
      </c>
      <c r="BK117" s="1">
        <v>0</v>
      </c>
      <c r="BL117" s="1">
        <v>0</v>
      </c>
      <c r="BM117" s="1">
        <v>11</v>
      </c>
      <c r="BN117" s="1">
        <v>11</v>
      </c>
      <c r="BO117"/>
    </row>
    <row r="118" spans="1:67" x14ac:dyDescent="0.55000000000000004">
      <c r="D118" t="s">
        <v>131</v>
      </c>
      <c r="F118" s="4">
        <v>212</v>
      </c>
      <c r="G118" t="s">
        <v>1166</v>
      </c>
      <c r="H118"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1.9800000000000002</v>
      </c>
      <c r="I118" s="1">
        <f>(Tabella15[[#This Row],[ALL5]]+Tabella15[[#This Row],[ALL6]]+Tabella15[[#This Row],[ALL22]]+Tabella15[[#This Row],[ALL32]]+Tabella15[[#This Row],[ALL7]]+Tabella15[[#This Row],[ALL8]])</f>
        <v>2</v>
      </c>
      <c r="J118"/>
      <c r="M118" s="21">
        <f>Tabella15[[#This Row],[IOT SPECFIC]]+Tabella15[[#This Row],[MBSE]]+Tabella15[[#This Row],[NEW MODEL]]</f>
        <v>0</v>
      </c>
      <c r="N118" s="21">
        <f>IF(Tabella15[[#This Row],[ALL]]&gt;0,1,0)</f>
        <v>0</v>
      </c>
      <c r="O118" s="1">
        <v>3</v>
      </c>
      <c r="P118" s="21">
        <f>IF(Tabella15[[#This Row],[DEPLOYMENT]]&gt;0,1,0)</f>
        <v>1</v>
      </c>
      <c r="Q118"/>
      <c r="T118" s="21">
        <f>Tabella15[[#This Row],[issues]]+Tabella15[[#This Row],[High Level]]+Tabella15[[#This Row],[ORCHESTRATION]]</f>
        <v>0</v>
      </c>
      <c r="U118" s="21">
        <f>IF(Tabella15[[#This Row],[ALL2]]&gt;0,1,0)</f>
        <v>0</v>
      </c>
      <c r="V118">
        <v>1</v>
      </c>
      <c r="Y118" s="21">
        <f>Tabella15[[#This Row],[Logginh]]+Tabella15[[#This Row],[Monitoring]]+Tabella15[[#This Row],[Performance]]</f>
        <v>1</v>
      </c>
      <c r="Z118" s="21">
        <f>IF(Tabella15[[#This Row],[ALL3]]&gt;0,1,0)</f>
        <v>1</v>
      </c>
      <c r="AA118" s="1"/>
      <c r="AB118" s="21">
        <f>IF(Tabella15[[#This Row],[TESTING]]&gt;0,1,0)</f>
        <v>0</v>
      </c>
      <c r="AC118"/>
      <c r="AH118" s="21">
        <f>Tabella15[[#This Row],[PRIVACY]]+Tabella15[[#This Row],[MATURITY MODEL]]+Tabella15[[#This Row],[ADDITIONAL]]+Tabella15[[#This Row],[DEVSECOPS]]+Tabella15[[#This Row],[SECURITY]]</f>
        <v>0</v>
      </c>
      <c r="AI118" s="21">
        <f>IF(Tabella15[[#This Row],[ALL4]]&gt;0,1,0)</f>
        <v>0</v>
      </c>
      <c r="AJ118" s="1"/>
      <c r="AK118" s="1">
        <v>4</v>
      </c>
      <c r="AL118" s="1">
        <f>(Tabella15[[#This Row],[ALL5]]+Tabella15[[#This Row],[ALL6]]+Tabella15[[#This Row],[ALL22]]+Tabella15[[#This Row],[ALL32]]+Tabella15[[#This Row],[ALL7]]+Tabella15[[#This Row],[ALL8]])*Tabella15[[#This Row],[Citazioni distinte]]</f>
        <v>8</v>
      </c>
      <c r="AM118" s="1">
        <f>(Tabella15[[#This Row],[ALL5]]+Tabella15[[#This Row],[ALL6]]+Tabella15[[#This Row],[ALL22]]+Tabella15[[#This Row],[ALL32]]+Tabella15[[#This Row],[ALL7]]+Tabella15[[#This Row],[ALL8]])*Tabella15[[#This Row],[PUNTO]]</f>
        <v>3.9600000000000004</v>
      </c>
      <c r="AN118" s="6" t="s">
        <v>164</v>
      </c>
      <c r="AO118" s="1">
        <v>7</v>
      </c>
      <c r="AP118" s="1" t="s">
        <v>74</v>
      </c>
      <c r="AQ118" s="1" t="s">
        <v>74</v>
      </c>
      <c r="AR118" s="1" t="s">
        <v>75</v>
      </c>
      <c r="AS118" s="1" t="s">
        <v>75</v>
      </c>
      <c r="AT118" s="1" t="s">
        <v>77</v>
      </c>
      <c r="AU118" s="1" t="s">
        <v>76</v>
      </c>
      <c r="AV118" t="s">
        <v>1167</v>
      </c>
      <c r="AW118">
        <v>2025</v>
      </c>
      <c r="AX118" t="s">
        <v>1168</v>
      </c>
      <c r="AY118" t="s">
        <v>1169</v>
      </c>
      <c r="BE118" t="s">
        <v>131</v>
      </c>
      <c r="BF118" t="s">
        <v>1170</v>
      </c>
      <c r="BG118" t="s">
        <v>1171</v>
      </c>
      <c r="BH118" t="s">
        <v>1172</v>
      </c>
      <c r="BJ118" s="1">
        <v>3</v>
      </c>
      <c r="BK118" s="1">
        <v>4</v>
      </c>
      <c r="BL118" s="1">
        <v>0</v>
      </c>
      <c r="BM118" s="1">
        <v>0</v>
      </c>
      <c r="BN118" s="1">
        <v>4</v>
      </c>
      <c r="BO118"/>
    </row>
    <row r="119" spans="1:67" x14ac:dyDescent="0.55000000000000004">
      <c r="D119" t="s">
        <v>100</v>
      </c>
      <c r="F119" s="4">
        <v>213</v>
      </c>
      <c r="G119" t="s">
        <v>1173</v>
      </c>
      <c r="H119"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1.9800000000000002</v>
      </c>
      <c r="I119" s="1">
        <f>(Tabella15[[#This Row],[ALL5]]+Tabella15[[#This Row],[ALL6]]+Tabella15[[#This Row],[ALL22]]+Tabella15[[#This Row],[ALL32]]+Tabella15[[#This Row],[ALL7]]+Tabella15[[#This Row],[ALL8]])</f>
        <v>2</v>
      </c>
      <c r="J119"/>
      <c r="L119" s="3">
        <v>1</v>
      </c>
      <c r="M119" s="22">
        <f>Tabella15[[#This Row],[IOT SPECFIC]]+Tabella15[[#This Row],[MBSE]]+Tabella15[[#This Row],[NEW MODEL]]</f>
        <v>1</v>
      </c>
      <c r="N119" s="22">
        <f>IF(Tabella15[[#This Row],[ALL]]&gt;0,1,0)</f>
        <v>1</v>
      </c>
      <c r="O119" s="5">
        <v>3</v>
      </c>
      <c r="P119" s="22">
        <f>IF(Tabella15[[#This Row],[DEPLOYMENT]]&gt;0,1,0)</f>
        <v>1</v>
      </c>
      <c r="Q119"/>
      <c r="T119" s="22">
        <f>Tabella15[[#This Row],[issues]]+Tabella15[[#This Row],[High Level]]+Tabella15[[#This Row],[ORCHESTRATION]]</f>
        <v>0</v>
      </c>
      <c r="U119" s="21">
        <f>IF(Tabella15[[#This Row],[ALL2]]&gt;0,1,0)</f>
        <v>0</v>
      </c>
      <c r="V119"/>
      <c r="Y119" s="22">
        <f>Tabella15[[#This Row],[Logginh]]+Tabella15[[#This Row],[Monitoring]]+Tabella15[[#This Row],[Performance]]</f>
        <v>0</v>
      </c>
      <c r="Z119" s="21">
        <f>IF(Tabella15[[#This Row],[ALL3]]&gt;0,1,0)</f>
        <v>0</v>
      </c>
      <c r="AA119" s="1"/>
      <c r="AB119" s="21">
        <f>IF(Tabella15[[#This Row],[TESTING]]&gt;0,1,0)</f>
        <v>0</v>
      </c>
      <c r="AC119"/>
      <c r="AH119" s="22">
        <f>Tabella15[[#This Row],[PRIVACY]]+Tabella15[[#This Row],[MATURITY MODEL]]+Tabella15[[#This Row],[ADDITIONAL]]+Tabella15[[#This Row],[DEVSECOPS]]+Tabella15[[#This Row],[SECURITY]]</f>
        <v>0</v>
      </c>
      <c r="AI119" s="21">
        <f>IF(Tabella15[[#This Row],[ALL4]]&gt;0,1,0)</f>
        <v>0</v>
      </c>
      <c r="AJ119" s="1"/>
      <c r="AK119" s="1">
        <v>13</v>
      </c>
      <c r="AL119" s="1">
        <f>(Tabella15[[#This Row],[ALL5]]+Tabella15[[#This Row],[ALL6]]+Tabella15[[#This Row],[ALL22]]+Tabella15[[#This Row],[ALL32]]+Tabella15[[#This Row],[ALL7]]+Tabella15[[#This Row],[ALL8]])*Tabella15[[#This Row],[Citazioni distinte]]</f>
        <v>26</v>
      </c>
      <c r="AM119" s="1">
        <f>(Tabella15[[#This Row],[ALL5]]+Tabella15[[#This Row],[ALL6]]+Tabella15[[#This Row],[ALL22]]+Tabella15[[#This Row],[ALL32]]+Tabella15[[#This Row],[ALL7]]+Tabella15[[#This Row],[ALL8]])*Tabella15[[#This Row],[PUNTO]]</f>
        <v>3.9600000000000004</v>
      </c>
      <c r="AN119" s="6" t="s">
        <v>164</v>
      </c>
      <c r="AO119" s="1">
        <v>10</v>
      </c>
      <c r="AP119" s="1" t="s">
        <v>74</v>
      </c>
      <c r="AQ119" s="1" t="s">
        <v>74</v>
      </c>
      <c r="AR119" s="1" t="s">
        <v>75</v>
      </c>
      <c r="AS119" s="1" t="s">
        <v>75</v>
      </c>
      <c r="AT119" s="1" t="s">
        <v>76</v>
      </c>
      <c r="AU119" s="1" t="s">
        <v>77</v>
      </c>
      <c r="AV119"/>
      <c r="AW119">
        <v>2023</v>
      </c>
      <c r="AX119" t="s">
        <v>1174</v>
      </c>
      <c r="AY119" s="2" t="s">
        <v>1175</v>
      </c>
      <c r="AZ119" t="s">
        <v>1176</v>
      </c>
      <c r="BE119" t="s">
        <v>100</v>
      </c>
      <c r="BF119" t="s">
        <v>1178</v>
      </c>
      <c r="BG119" t="s">
        <v>1179</v>
      </c>
      <c r="BH119" t="s">
        <v>1180</v>
      </c>
      <c r="BI119" t="s">
        <v>1177</v>
      </c>
      <c r="BJ119" s="1">
        <v>13</v>
      </c>
      <c r="BK119" s="1">
        <v>9</v>
      </c>
      <c r="BL119" s="1">
        <v>0</v>
      </c>
      <c r="BM119" s="1">
        <v>0</v>
      </c>
      <c r="BN119" s="1">
        <v>13</v>
      </c>
      <c r="BO119"/>
    </row>
    <row r="120" spans="1:67" x14ac:dyDescent="0.55000000000000004">
      <c r="D120" t="s">
        <v>256</v>
      </c>
      <c r="F120" s="4">
        <v>214</v>
      </c>
      <c r="G120" t="s">
        <v>1181</v>
      </c>
      <c r="H120"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1.6500000000000001</v>
      </c>
      <c r="I120" s="1">
        <f>(Tabella15[[#This Row],[ALL5]]+Tabella15[[#This Row],[ALL6]]+Tabella15[[#This Row],[ALL22]]+Tabella15[[#This Row],[ALL32]]+Tabella15[[#This Row],[ALL7]]+Tabella15[[#This Row],[ALL8]])</f>
        <v>1</v>
      </c>
      <c r="J120"/>
      <c r="M120" s="21">
        <f>Tabella15[[#This Row],[IOT SPECFIC]]+Tabella15[[#This Row],[MBSE]]+Tabella15[[#This Row],[NEW MODEL]]</f>
        <v>0</v>
      </c>
      <c r="N120" s="21">
        <f>IF(Tabella15[[#This Row],[ALL]]&gt;0,1,0)</f>
        <v>0</v>
      </c>
      <c r="O120" s="1"/>
      <c r="P120" s="21">
        <f>IF(Tabella15[[#This Row],[DEPLOYMENT]]&gt;0,1,0)</f>
        <v>0</v>
      </c>
      <c r="Q120"/>
      <c r="T120" s="21">
        <f>Tabella15[[#This Row],[issues]]+Tabella15[[#This Row],[High Level]]+Tabella15[[#This Row],[ORCHESTRATION]]</f>
        <v>0</v>
      </c>
      <c r="U120" s="21">
        <f>IF(Tabella15[[#This Row],[ALL2]]&gt;0,1,0)</f>
        <v>0</v>
      </c>
      <c r="V120"/>
      <c r="Y120" s="21">
        <f>Tabella15[[#This Row],[Logginh]]+Tabella15[[#This Row],[Monitoring]]+Tabella15[[#This Row],[Performance]]</f>
        <v>0</v>
      </c>
      <c r="Z120" s="21">
        <f>IF(Tabella15[[#This Row],[ALL3]]&gt;0,1,0)</f>
        <v>0</v>
      </c>
      <c r="AA120" s="1"/>
      <c r="AB120" s="21">
        <f>IF(Tabella15[[#This Row],[TESTING]]&gt;0,1,0)</f>
        <v>0</v>
      </c>
      <c r="AC120">
        <v>1</v>
      </c>
      <c r="AH120" s="21">
        <f>Tabella15[[#This Row],[PRIVACY]]+Tabella15[[#This Row],[MATURITY MODEL]]+Tabella15[[#This Row],[ADDITIONAL]]+Tabella15[[#This Row],[DEVSECOPS]]+Tabella15[[#This Row],[SECURITY]]</f>
        <v>1</v>
      </c>
      <c r="AI120" s="21">
        <f>IF(Tabella15[[#This Row],[ALL4]]&gt;0,1,0)</f>
        <v>1</v>
      </c>
      <c r="AJ120" s="1"/>
      <c r="AK120" s="1">
        <v>0</v>
      </c>
      <c r="AL120" s="1">
        <f>(Tabella15[[#This Row],[ALL5]]+Tabella15[[#This Row],[ALL6]]+Tabella15[[#This Row],[ALL22]]+Tabella15[[#This Row],[ALL32]]+Tabella15[[#This Row],[ALL7]]+Tabella15[[#This Row],[ALL8]])*Tabella15[[#This Row],[Citazioni distinte]]</f>
        <v>0</v>
      </c>
      <c r="AM120" s="1">
        <f>(Tabella15[[#This Row],[ALL5]]+Tabella15[[#This Row],[ALL6]]+Tabella15[[#This Row],[ALL22]]+Tabella15[[#This Row],[ALL32]]+Tabella15[[#This Row],[ALL7]]+Tabella15[[#This Row],[ALL8]])*Tabella15[[#This Row],[PUNTO]]</f>
        <v>1.6500000000000001</v>
      </c>
      <c r="AN120" s="6" t="s">
        <v>164</v>
      </c>
      <c r="AO120" s="1">
        <v>12</v>
      </c>
      <c r="AP120" s="1" t="s">
        <v>74</v>
      </c>
      <c r="AQ120" s="1" t="s">
        <v>75</v>
      </c>
      <c r="AR120" s="1" t="s">
        <v>75</v>
      </c>
      <c r="AS120" s="1" t="s">
        <v>75</v>
      </c>
      <c r="AT120" s="1" t="s">
        <v>76</v>
      </c>
      <c r="AU120" s="1" t="s">
        <v>76</v>
      </c>
      <c r="AV120"/>
      <c r="AW120">
        <v>2026</v>
      </c>
      <c r="AX120" t="s">
        <v>1182</v>
      </c>
      <c r="AY120" s="2" t="s">
        <v>1183</v>
      </c>
      <c r="AZ120" t="s">
        <v>1184</v>
      </c>
      <c r="BE120" t="s">
        <v>256</v>
      </c>
      <c r="BF120" t="s">
        <v>1186</v>
      </c>
      <c r="BG120" t="s">
        <v>1187</v>
      </c>
      <c r="BH120" t="s">
        <v>1188</v>
      </c>
      <c r="BI120" t="s">
        <v>1185</v>
      </c>
      <c r="BJ120" s="1">
        <v>0</v>
      </c>
      <c r="BK120" s="1">
        <v>0</v>
      </c>
      <c r="BL120" s="1">
        <v>0</v>
      </c>
      <c r="BM120" s="1">
        <v>0</v>
      </c>
      <c r="BN120" s="1">
        <v>0</v>
      </c>
      <c r="BO120"/>
    </row>
    <row r="121" spans="1:67" x14ac:dyDescent="0.55000000000000004">
      <c r="D121" t="s">
        <v>85</v>
      </c>
      <c r="F121" s="4">
        <v>215</v>
      </c>
      <c r="G121" t="s">
        <v>1189</v>
      </c>
      <c r="H121"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1.9800000000000002</v>
      </c>
      <c r="I121" s="1">
        <f>(Tabella15[[#This Row],[ALL5]]+Tabella15[[#This Row],[ALL6]]+Tabella15[[#This Row],[ALL22]]+Tabella15[[#This Row],[ALL32]]+Tabella15[[#This Row],[ALL7]]+Tabella15[[#This Row],[ALL8]])</f>
        <v>1</v>
      </c>
      <c r="J121"/>
      <c r="M121" s="21">
        <f>Tabella15[[#This Row],[IOT SPECFIC]]+Tabella15[[#This Row],[MBSE]]+Tabella15[[#This Row],[NEW MODEL]]</f>
        <v>0</v>
      </c>
      <c r="N121" s="21">
        <f>IF(Tabella15[[#This Row],[ALL]]&gt;0,1,0)</f>
        <v>0</v>
      </c>
      <c r="O121" s="1"/>
      <c r="P121" s="21">
        <f>IF(Tabella15[[#This Row],[DEPLOYMENT]]&gt;0,1,0)</f>
        <v>0</v>
      </c>
      <c r="Q121"/>
      <c r="T121" s="21">
        <f>Tabella15[[#This Row],[issues]]+Tabella15[[#This Row],[High Level]]+Tabella15[[#This Row],[ORCHESTRATION]]</f>
        <v>0</v>
      </c>
      <c r="U121" s="21">
        <f>IF(Tabella15[[#This Row],[ALL2]]&gt;0,1,0)</f>
        <v>0</v>
      </c>
      <c r="V121"/>
      <c r="Y121" s="21">
        <f>Tabella15[[#This Row],[Logginh]]+Tabella15[[#This Row],[Monitoring]]+Tabella15[[#This Row],[Performance]]</f>
        <v>0</v>
      </c>
      <c r="Z121" s="21">
        <f>IF(Tabella15[[#This Row],[ALL3]]&gt;0,1,0)</f>
        <v>0</v>
      </c>
      <c r="AA121" s="1"/>
      <c r="AB121" s="21">
        <f>IF(Tabella15[[#This Row],[TESTING]]&gt;0,1,0)</f>
        <v>0</v>
      </c>
      <c r="AC121">
        <v>1</v>
      </c>
      <c r="AH121" s="21">
        <f>Tabella15[[#This Row],[PRIVACY]]+Tabella15[[#This Row],[MATURITY MODEL]]+Tabella15[[#This Row],[ADDITIONAL]]+Tabella15[[#This Row],[DEVSECOPS]]+Tabella15[[#This Row],[SECURITY]]</f>
        <v>1</v>
      </c>
      <c r="AI121" s="21">
        <f>IF(Tabella15[[#This Row],[ALL4]]&gt;0,1,0)</f>
        <v>1</v>
      </c>
      <c r="AJ121" s="1"/>
      <c r="AK121" s="1">
        <v>2</v>
      </c>
      <c r="AL121" s="1">
        <f>(Tabella15[[#This Row],[ALL5]]+Tabella15[[#This Row],[ALL6]]+Tabella15[[#This Row],[ALL22]]+Tabella15[[#This Row],[ALL32]]+Tabella15[[#This Row],[ALL7]]+Tabella15[[#This Row],[ALL8]])*Tabella15[[#This Row],[Citazioni distinte]]</f>
        <v>2</v>
      </c>
      <c r="AM121" s="1">
        <f>(Tabella15[[#This Row],[ALL5]]+Tabella15[[#This Row],[ALL6]]+Tabella15[[#This Row],[ALL22]]+Tabella15[[#This Row],[ALL32]]+Tabella15[[#This Row],[ALL7]]+Tabella15[[#This Row],[ALL8]])*Tabella15[[#This Row],[PUNTO]]</f>
        <v>1.9800000000000002</v>
      </c>
      <c r="AN121" s="6" t="s">
        <v>164</v>
      </c>
      <c r="AO121" s="1">
        <v>27</v>
      </c>
      <c r="AP121" s="1" t="s">
        <v>74</v>
      </c>
      <c r="AQ121" s="1" t="s">
        <v>74</v>
      </c>
      <c r="AR121" s="1" t="s">
        <v>75</v>
      </c>
      <c r="AS121" s="1" t="s">
        <v>75</v>
      </c>
      <c r="AT121" s="1" t="s">
        <v>76</v>
      </c>
      <c r="AU121" s="1" t="s">
        <v>77</v>
      </c>
      <c r="AV121"/>
      <c r="AW121">
        <v>2026</v>
      </c>
      <c r="AX121" t="s">
        <v>1190</v>
      </c>
      <c r="AY121" s="2" t="s">
        <v>1191</v>
      </c>
      <c r="AZ121" t="s">
        <v>129</v>
      </c>
      <c r="BE121" t="s">
        <v>85</v>
      </c>
      <c r="BF121" t="s">
        <v>1193</v>
      </c>
      <c r="BG121" t="s">
        <v>1194</v>
      </c>
      <c r="BH121" t="s">
        <v>1195</v>
      </c>
      <c r="BI121" t="s">
        <v>1192</v>
      </c>
      <c r="BJ121" s="1">
        <v>2</v>
      </c>
      <c r="BK121" s="1">
        <v>0</v>
      </c>
      <c r="BL121" s="1">
        <v>1</v>
      </c>
      <c r="BM121" s="1">
        <v>0</v>
      </c>
      <c r="BN121" s="1">
        <v>2</v>
      </c>
      <c r="BO121"/>
    </row>
    <row r="122" spans="1:67" x14ac:dyDescent="0.55000000000000004">
      <c r="D122" t="s">
        <v>100</v>
      </c>
      <c r="F122" s="4">
        <v>216</v>
      </c>
      <c r="G122" t="s">
        <v>1196</v>
      </c>
      <c r="H122" s="1">
        <f>IF(Tabella15[[#This Row],[DESIGN]]="HIGH",1,IF(Tabella15[[#This Row],[DESIGN]]="GOOD",0.66,IF(Tabella15[[#This Row],[DESIGN]]="SUFFICIENT",0.33,0)))+
IF(Tabella15[[#This Row],[VALIDITY]]="HIGH",1,IF(Tabella15[[#This Row],[VALIDITY]]="GOOD",0.66,IF(Tabella15[[#This Row],[VALIDITY]]="SUFFICIENT",0.33,0)))+
IF(Tabella15[[#This Row],[REPLICABILITY]]="HIGH",1,IF(Tabella15[[#This Row],[REPLICABILITY]]="GOOD",0.66,IF(Tabella15[[#This Row],[REPLICABILITY]]="SUFFICIENT",0.33,0)))+IF(Tabella15[[#This Row],[THREATS]]="HIGH",1,IF(Tabella15[[#This Row],[THREATS]]="GOOD",0.66,IF(Tabella15[[#This Row],[THREATS]]="SUFFICIENT",0.33,0)))</f>
        <v>2.66</v>
      </c>
      <c r="I122" s="1">
        <f>(Tabella15[[#This Row],[ALL5]]+Tabella15[[#This Row],[ALL6]]+Tabella15[[#This Row],[ALL22]]+Tabella15[[#This Row],[ALL32]]+Tabella15[[#This Row],[ALL7]]+Tabella15[[#This Row],[ALL8]])</f>
        <v>2</v>
      </c>
      <c r="J122"/>
      <c r="L122">
        <v>1</v>
      </c>
      <c r="M122" s="21">
        <f>Tabella15[[#This Row],[IOT SPECFIC]]+Tabella15[[#This Row],[MBSE]]+Tabella15[[#This Row],[NEW MODEL]]</f>
        <v>1</v>
      </c>
      <c r="N122" s="21">
        <f>IF(Tabella15[[#This Row],[ALL]]&gt;0,1,0)</f>
        <v>1</v>
      </c>
      <c r="O122" s="1">
        <v>3</v>
      </c>
      <c r="P122" s="21">
        <f>IF(Tabella15[[#This Row],[DEPLOYMENT]]&gt;0,1,0)</f>
        <v>1</v>
      </c>
      <c r="Q122"/>
      <c r="T122" s="21">
        <f>Tabella15[[#This Row],[issues]]+Tabella15[[#This Row],[High Level]]+Tabella15[[#This Row],[ORCHESTRATION]]</f>
        <v>0</v>
      </c>
      <c r="U122" s="21">
        <f>IF(Tabella15[[#This Row],[ALL2]]&gt;0,1,0)</f>
        <v>0</v>
      </c>
      <c r="V122"/>
      <c r="Y122" s="21">
        <f>Tabella15[[#This Row],[Logginh]]+Tabella15[[#This Row],[Monitoring]]+Tabella15[[#This Row],[Performance]]</f>
        <v>0</v>
      </c>
      <c r="Z122" s="21">
        <f>IF(Tabella15[[#This Row],[ALL3]]&gt;0,1,0)</f>
        <v>0</v>
      </c>
      <c r="AA122" s="1"/>
      <c r="AB122" s="21">
        <f>IF(Tabella15[[#This Row],[TESTING]]&gt;0,1,0)</f>
        <v>0</v>
      </c>
      <c r="AC122"/>
      <c r="AH122" s="21">
        <f>Tabella15[[#This Row],[PRIVACY]]+Tabella15[[#This Row],[MATURITY MODEL]]+Tabella15[[#This Row],[ADDITIONAL]]+Tabella15[[#This Row],[DEVSECOPS]]+Tabella15[[#This Row],[SECURITY]]</f>
        <v>0</v>
      </c>
      <c r="AI122" s="21">
        <f>IF(Tabella15[[#This Row],[ALL4]]&gt;0,1,0)</f>
        <v>0</v>
      </c>
      <c r="AJ122" s="1"/>
      <c r="AK122" s="1">
        <v>4</v>
      </c>
      <c r="AL122" s="1">
        <f>(Tabella15[[#This Row],[ALL5]]+Tabella15[[#This Row],[ALL6]]+Tabella15[[#This Row],[ALL22]]+Tabella15[[#This Row],[ALL32]]+Tabella15[[#This Row],[ALL7]]+Tabella15[[#This Row],[ALL8]])*Tabella15[[#This Row],[Citazioni distinte]]</f>
        <v>8</v>
      </c>
      <c r="AM122" s="1">
        <f>(Tabella15[[#This Row],[ALL5]]+Tabella15[[#This Row],[ALL6]]+Tabella15[[#This Row],[ALL22]]+Tabella15[[#This Row],[ALL32]]+Tabella15[[#This Row],[ALL7]]+Tabella15[[#This Row],[ALL8]])*Tabella15[[#This Row],[PUNTO]]</f>
        <v>5.32</v>
      </c>
      <c r="AN122" s="6" t="s">
        <v>164</v>
      </c>
      <c r="AO122" s="1">
        <v>23</v>
      </c>
      <c r="AP122" s="1" t="s">
        <v>102</v>
      </c>
      <c r="AQ122" s="1" t="s">
        <v>102</v>
      </c>
      <c r="AR122" s="1" t="s">
        <v>75</v>
      </c>
      <c r="AS122" s="1" t="s">
        <v>75</v>
      </c>
      <c r="AT122" s="1" t="s">
        <v>77</v>
      </c>
      <c r="AU122" s="1" t="s">
        <v>77</v>
      </c>
      <c r="AV122"/>
      <c r="AW122">
        <v>2025</v>
      </c>
      <c r="AX122" t="s">
        <v>1197</v>
      </c>
      <c r="AY122" s="2" t="s">
        <v>1198</v>
      </c>
      <c r="AZ122" t="s">
        <v>1199</v>
      </c>
      <c r="BE122" t="s">
        <v>100</v>
      </c>
      <c r="BF122" t="s">
        <v>1201</v>
      </c>
      <c r="BG122" t="s">
        <v>1202</v>
      </c>
      <c r="BH122" t="s">
        <v>1203</v>
      </c>
      <c r="BI122" t="s">
        <v>1200</v>
      </c>
      <c r="BJ122" s="1">
        <v>4</v>
      </c>
      <c r="BK122" s="1">
        <v>0</v>
      </c>
      <c r="BL122" s="1">
        <v>0</v>
      </c>
      <c r="BM122" s="1">
        <v>0</v>
      </c>
      <c r="BN122" s="1">
        <v>4</v>
      </c>
      <c r="BO122"/>
    </row>
    <row r="123" spans="1:67" x14ac:dyDescent="0.55000000000000004">
      <c r="F123" s="4"/>
      <c r="G123">
        <f>SUBTOTAL(103,Tabella15[TITLE])</f>
        <v>121</v>
      </c>
      <c r="H123" s="1">
        <f>SUBTOTAL(109,Tabella15[PUNTO])</f>
        <v>279.45</v>
      </c>
      <c r="J123"/>
      <c r="M123" s="21"/>
      <c r="N123" s="21">
        <f>SUBTOTAL(109,Tabella15[ALL5])</f>
        <v>31</v>
      </c>
      <c r="O123" s="1"/>
      <c r="P123" s="21">
        <f>SUBTOTAL(109,Tabella15[ALL6])</f>
        <v>67</v>
      </c>
      <c r="Q123"/>
      <c r="T123" s="21"/>
      <c r="U123" s="21">
        <f>SUBTOTAL(109,Tabella15[ALL22])</f>
        <v>26</v>
      </c>
      <c r="V123"/>
      <c r="Y123" s="21"/>
      <c r="Z123" s="21">
        <f>SUBTOTAL(109,Tabella15[ALL32])</f>
        <v>27</v>
      </c>
      <c r="AA123" s="1"/>
      <c r="AB123" s="21">
        <f>SUBTOTAL(109,Tabella15[ALL7])</f>
        <v>14</v>
      </c>
      <c r="AC123"/>
      <c r="AH123" s="21"/>
      <c r="AI123" s="21">
        <f>SUBTOTAL(109,Tabella15[ALL8])</f>
        <v>20</v>
      </c>
      <c r="AJ123" s="1" t="s">
        <v>1204</v>
      </c>
      <c r="AK123" s="1">
        <f>SUBTOTAL(109,Tabella15[Citazioni distinte])</f>
        <v>990</v>
      </c>
      <c r="AL123" s="1">
        <f>SUBTOTAL(109,Tabella15[Citazioni considerate su più aree])</f>
        <v>1696</v>
      </c>
      <c r="AM123" s="1">
        <f>SUBTOTAL(109,Tabella15[Quality Score])</f>
        <v>441.29999999999984</v>
      </c>
      <c r="AN123" s="6"/>
      <c r="AO123" s="1"/>
      <c r="AV123"/>
      <c r="AY123" t="s">
        <v>1198</v>
      </c>
      <c r="BJ123" s="1"/>
      <c r="BK123" s="1"/>
      <c r="BO123"/>
    </row>
    <row r="124" spans="1:67" x14ac:dyDescent="0.55000000000000004">
      <c r="G124" s="4"/>
      <c r="N124" s="6"/>
      <c r="O124" s="6"/>
      <c r="Q124" s="6"/>
      <c r="U124" s="6"/>
      <c r="V124" s="6"/>
      <c r="Z124" s="6"/>
      <c r="AA124" s="6"/>
      <c r="AC124" s="6"/>
      <c r="AI124" s="6"/>
      <c r="AJ124" s="6"/>
      <c r="AL124" s="47"/>
      <c r="AM124" s="47"/>
      <c r="AN124" s="47"/>
      <c r="BK124" s="1"/>
    </row>
    <row r="125" spans="1:67" x14ac:dyDescent="0.55000000000000004">
      <c r="N125" s="6"/>
      <c r="O125" s="6"/>
      <c r="Q125" s="6"/>
      <c r="U125" s="6"/>
      <c r="V125" s="6"/>
      <c r="Z125" s="6"/>
      <c r="AA125" s="6"/>
      <c r="AC125" s="6"/>
      <c r="AI125" s="6"/>
      <c r="AJ125" s="6"/>
    </row>
    <row r="126" spans="1:67" x14ac:dyDescent="0.55000000000000004">
      <c r="N126" s="6"/>
      <c r="O126" s="6"/>
      <c r="Q126" s="6"/>
      <c r="U126" s="6"/>
      <c r="V126" s="6"/>
      <c r="Z126" s="6"/>
      <c r="AA126" s="6"/>
      <c r="AC126" s="6"/>
      <c r="AI126" s="6"/>
      <c r="AJ126" s="6"/>
      <c r="AO126" s="48" t="s">
        <v>1205</v>
      </c>
      <c r="AP126" s="1">
        <v>1688</v>
      </c>
    </row>
    <row r="127" spans="1:67" x14ac:dyDescent="0.55000000000000004">
      <c r="N127" s="6"/>
      <c r="O127" s="6"/>
      <c r="Q127" s="6"/>
      <c r="U127" s="6"/>
      <c r="V127" s="6"/>
      <c r="Z127" s="6"/>
      <c r="AA127" s="6"/>
      <c r="AC127" s="6"/>
      <c r="AI127" s="6"/>
      <c r="AJ127" s="6"/>
      <c r="AO127" s="48" t="s">
        <v>1206</v>
      </c>
      <c r="AP127" s="49">
        <v>440.64</v>
      </c>
    </row>
    <row r="128" spans="1:67" x14ac:dyDescent="0.55000000000000004">
      <c r="N128" s="6"/>
      <c r="O128" s="6"/>
      <c r="Q128" s="6"/>
      <c r="U128" s="6"/>
      <c r="V128" s="6"/>
      <c r="Z128" s="6"/>
      <c r="AA128" s="6"/>
      <c r="AC128" s="6"/>
      <c r="AF128" s="40" t="s">
        <v>0</v>
      </c>
      <c r="AG128" s="40" t="s">
        <v>18</v>
      </c>
      <c r="AH128" s="40" t="s">
        <v>20</v>
      </c>
      <c r="AI128" s="28" t="s">
        <v>1207</v>
      </c>
      <c r="AJ128" s="28" t="s">
        <v>1</v>
      </c>
      <c r="AK128" s="40" t="s">
        <v>2</v>
      </c>
    </row>
    <row r="129" spans="14:43" x14ac:dyDescent="0.55000000000000004">
      <c r="N129" s="6"/>
      <c r="O129" s="6"/>
      <c r="Q129" s="6"/>
      <c r="U129" s="6"/>
      <c r="V129" s="6"/>
      <c r="Z129" s="6"/>
      <c r="AA129" s="6"/>
      <c r="AC129" s="6"/>
      <c r="AF129" s="34">
        <v>380</v>
      </c>
      <c r="AG129" s="34">
        <v>543</v>
      </c>
      <c r="AH129" s="34">
        <v>191</v>
      </c>
      <c r="AI129" s="35">
        <v>308</v>
      </c>
      <c r="AJ129" s="35">
        <v>92</v>
      </c>
      <c r="AK129" s="41">
        <v>170</v>
      </c>
      <c r="AM129">
        <f>SUM(AF129:AK129)</f>
        <v>1684</v>
      </c>
    </row>
    <row r="130" spans="14:43" x14ac:dyDescent="0.55000000000000004">
      <c r="N130" s="6"/>
      <c r="O130" s="6"/>
      <c r="Q130" s="6"/>
      <c r="U130" s="6"/>
      <c r="V130" s="6"/>
      <c r="Z130" s="6"/>
      <c r="AA130" s="6"/>
      <c r="AC130" s="6"/>
      <c r="AF130" s="34">
        <v>31</v>
      </c>
      <c r="AG130" s="34">
        <v>67</v>
      </c>
      <c r="AH130" s="34">
        <v>26</v>
      </c>
      <c r="AI130" s="35">
        <v>27</v>
      </c>
      <c r="AJ130" s="35">
        <v>15</v>
      </c>
      <c r="AK130" s="41">
        <v>20</v>
      </c>
      <c r="AM130">
        <f>SUM(AF130:AK130)</f>
        <v>186</v>
      </c>
    </row>
    <row r="131" spans="14:43" x14ac:dyDescent="0.55000000000000004">
      <c r="N131" s="6"/>
      <c r="O131" s="6"/>
      <c r="Q131" s="6"/>
      <c r="U131" s="6"/>
      <c r="V131" s="6"/>
      <c r="Z131" s="6"/>
      <c r="AA131" s="6"/>
      <c r="AC131" s="50"/>
      <c r="AD131" s="50"/>
      <c r="AE131" s="50" t="s">
        <v>1208</v>
      </c>
      <c r="AF131" s="36">
        <f t="shared" ref="AF131:AK131" si="0">AF129/AF130</f>
        <v>12.258064516129032</v>
      </c>
      <c r="AG131" s="36">
        <f t="shared" si="0"/>
        <v>8.1044776119402986</v>
      </c>
      <c r="AH131" s="36">
        <f t="shared" si="0"/>
        <v>7.3461538461538458</v>
      </c>
      <c r="AI131" s="36">
        <f t="shared" si="0"/>
        <v>11.407407407407407</v>
      </c>
      <c r="AJ131" s="36">
        <f t="shared" si="0"/>
        <v>6.1333333333333337</v>
      </c>
      <c r="AK131" s="42">
        <f t="shared" si="0"/>
        <v>8.5</v>
      </c>
    </row>
    <row r="132" spans="14:43" x14ac:dyDescent="0.55000000000000004">
      <c r="N132" s="6"/>
      <c r="O132" s="6"/>
      <c r="Q132" s="6"/>
      <c r="U132" s="6"/>
      <c r="V132" s="6"/>
      <c r="Z132" s="6"/>
      <c r="AA132" s="6"/>
      <c r="AC132" s="6"/>
      <c r="AE132" s="32"/>
      <c r="AF132" s="37">
        <f t="shared" ref="AF132:AK132" si="1">AF129/$AP$126</f>
        <v>0.22511848341232227</v>
      </c>
      <c r="AG132" s="37">
        <f t="shared" si="1"/>
        <v>0.32168246445497628</v>
      </c>
      <c r="AH132" s="37">
        <f t="shared" si="1"/>
        <v>0.11315165876777251</v>
      </c>
      <c r="AI132" s="37">
        <f t="shared" si="1"/>
        <v>0.18246445497630331</v>
      </c>
      <c r="AJ132" s="37">
        <f t="shared" si="1"/>
        <v>5.4502369668246446E-2</v>
      </c>
      <c r="AK132" s="43">
        <f t="shared" si="1"/>
        <v>0.10071090047393365</v>
      </c>
      <c r="AM132" s="16">
        <f>SUM(AF132:AK132)</f>
        <v>0.99763033175355442</v>
      </c>
    </row>
    <row r="133" spans="14:43" x14ac:dyDescent="0.55000000000000004">
      <c r="N133" s="6"/>
      <c r="O133" s="6"/>
      <c r="Q133" s="6"/>
      <c r="U133" s="6"/>
      <c r="V133" s="6"/>
      <c r="Z133" s="6"/>
      <c r="AA133" s="6"/>
      <c r="AC133" s="6"/>
      <c r="AE133" s="12"/>
      <c r="AF133" s="33"/>
      <c r="AG133" s="33"/>
      <c r="AH133" s="33"/>
      <c r="AI133" s="33"/>
      <c r="AJ133" s="33"/>
      <c r="AK133" s="44"/>
      <c r="AM133" s="16"/>
    </row>
    <row r="134" spans="14:43" x14ac:dyDescent="0.55000000000000004">
      <c r="N134" s="6"/>
      <c r="O134" s="6"/>
      <c r="Q134" s="6"/>
      <c r="U134" s="6"/>
      <c r="V134" s="6"/>
      <c r="Z134" s="6"/>
      <c r="AA134" s="6"/>
      <c r="AC134" s="50"/>
      <c r="AD134" s="50"/>
      <c r="AE134" s="50" t="s">
        <v>1209</v>
      </c>
      <c r="AF134" s="31">
        <v>6</v>
      </c>
      <c r="AG134" s="31">
        <v>5</v>
      </c>
      <c r="AH134" s="31">
        <v>4</v>
      </c>
      <c r="AI134" s="31">
        <v>5</v>
      </c>
      <c r="AJ134" s="31">
        <v>5</v>
      </c>
      <c r="AK134" s="42">
        <v>2</v>
      </c>
    </row>
    <row r="135" spans="14:43" x14ac:dyDescent="0.55000000000000004">
      <c r="N135" s="6"/>
      <c r="O135" s="6"/>
      <c r="Q135" s="6"/>
      <c r="U135" s="6"/>
      <c r="V135" s="6"/>
      <c r="Z135" s="6"/>
      <c r="AA135" s="6"/>
      <c r="AC135" s="6"/>
      <c r="AE135" s="29"/>
      <c r="AF135" s="30"/>
      <c r="AG135" s="30"/>
      <c r="AH135" s="30"/>
      <c r="AI135" s="30"/>
      <c r="AJ135" s="30"/>
      <c r="AK135" s="43"/>
      <c r="AL135" s="15"/>
      <c r="AM135" s="16"/>
      <c r="AN135" s="16"/>
    </row>
    <row r="136" spans="14:43" x14ac:dyDescent="0.55000000000000004">
      <c r="N136" s="6"/>
      <c r="O136" s="6"/>
      <c r="Q136" s="6"/>
      <c r="U136" s="6"/>
      <c r="V136" s="6"/>
      <c r="Z136" s="6"/>
      <c r="AA136" s="6"/>
      <c r="AC136" s="6"/>
      <c r="AF136" s="14"/>
      <c r="AG136" s="14"/>
      <c r="AH136" s="14"/>
      <c r="AI136" s="24"/>
      <c r="AJ136" s="24"/>
      <c r="AK136" s="41"/>
    </row>
    <row r="137" spans="14:43" x14ac:dyDescent="0.55000000000000004">
      <c r="N137" s="6"/>
      <c r="O137" s="6"/>
      <c r="Q137" s="6"/>
      <c r="U137" s="6"/>
      <c r="V137" s="6"/>
      <c r="Z137" s="6"/>
      <c r="AA137" s="6"/>
      <c r="AC137" s="6"/>
      <c r="AE137" s="9"/>
      <c r="AF137" s="27" t="s">
        <v>0</v>
      </c>
      <c r="AG137" s="27" t="s">
        <v>18</v>
      </c>
      <c r="AH137" s="27" t="s">
        <v>20</v>
      </c>
      <c r="AI137" s="28" t="s">
        <v>1207</v>
      </c>
      <c r="AJ137" s="28" t="s">
        <v>1</v>
      </c>
      <c r="AK137" s="40" t="s">
        <v>2</v>
      </c>
      <c r="AL137" s="9"/>
      <c r="AM137" s="9"/>
      <c r="AN137" s="9"/>
      <c r="AO137" s="10"/>
      <c r="AP137" s="11"/>
      <c r="AQ137" s="11"/>
    </row>
    <row r="138" spans="14:43" x14ac:dyDescent="0.55000000000000004">
      <c r="N138" s="6"/>
      <c r="O138" s="6"/>
      <c r="Q138" s="6"/>
      <c r="U138" s="6"/>
      <c r="V138" s="6"/>
      <c r="Z138" s="6"/>
      <c r="AA138" s="6"/>
      <c r="AC138" s="6"/>
      <c r="AE138" s="9"/>
      <c r="AF138" s="34">
        <v>77.67</v>
      </c>
      <c r="AG138" s="34">
        <v>161.75</v>
      </c>
      <c r="AH138" s="34">
        <v>62.73</v>
      </c>
      <c r="AI138" s="35">
        <v>62.96</v>
      </c>
      <c r="AJ138" s="35">
        <v>31.48</v>
      </c>
      <c r="AK138" s="34">
        <v>44.05</v>
      </c>
      <c r="AL138" s="9"/>
      <c r="AM138" s="9">
        <f>SUM(AF138:AL138)</f>
        <v>440.64000000000004</v>
      </c>
      <c r="AN138" s="9"/>
      <c r="AO138" s="10"/>
      <c r="AP138" s="11"/>
      <c r="AQ138" s="11"/>
    </row>
    <row r="139" spans="14:43" x14ac:dyDescent="0.55000000000000004">
      <c r="N139" s="6"/>
      <c r="O139" s="6"/>
      <c r="Q139" s="6"/>
      <c r="U139" s="6"/>
      <c r="V139" s="6"/>
      <c r="Z139" s="6"/>
      <c r="AA139" s="6"/>
      <c r="AC139" s="6"/>
      <c r="AE139" s="9"/>
      <c r="AF139" s="34">
        <f t="shared" ref="AF139:AK139" si="2">AF130</f>
        <v>31</v>
      </c>
      <c r="AG139" s="34">
        <f t="shared" si="2"/>
        <v>67</v>
      </c>
      <c r="AH139" s="34">
        <f t="shared" si="2"/>
        <v>26</v>
      </c>
      <c r="AI139" s="34">
        <f t="shared" si="2"/>
        <v>27</v>
      </c>
      <c r="AJ139" s="34">
        <f t="shared" si="2"/>
        <v>15</v>
      </c>
      <c r="AK139" s="34">
        <f t="shared" si="2"/>
        <v>20</v>
      </c>
      <c r="AL139" s="9"/>
      <c r="AM139" s="9"/>
      <c r="AN139" s="9"/>
      <c r="AO139" s="10"/>
      <c r="AP139" s="11"/>
      <c r="AQ139" s="11"/>
    </row>
    <row r="140" spans="14:43" x14ac:dyDescent="0.55000000000000004">
      <c r="N140" s="6"/>
      <c r="O140" s="6"/>
      <c r="Q140" s="6"/>
      <c r="U140" s="6"/>
      <c r="V140" s="6"/>
      <c r="Z140" s="6"/>
      <c r="AA140" s="6"/>
      <c r="AC140" s="6"/>
      <c r="AE140" s="9"/>
      <c r="AF140" s="25"/>
      <c r="AG140" s="25"/>
      <c r="AH140" s="25"/>
      <c r="AI140" s="26"/>
      <c r="AJ140" s="26"/>
      <c r="AK140" s="45"/>
      <c r="AL140" s="9"/>
      <c r="AM140" s="9"/>
      <c r="AN140" s="9"/>
      <c r="AO140" s="10"/>
      <c r="AP140" s="11"/>
      <c r="AQ140" s="11"/>
    </row>
    <row r="141" spans="14:43" x14ac:dyDescent="0.55000000000000004">
      <c r="N141" s="6"/>
      <c r="O141" s="6"/>
      <c r="Q141" s="6"/>
      <c r="U141" s="6"/>
      <c r="V141" s="6"/>
      <c r="Z141" s="6"/>
      <c r="AA141" s="6"/>
      <c r="AC141" s="51"/>
      <c r="AD141" s="51"/>
      <c r="AE141" s="51" t="s">
        <v>40</v>
      </c>
      <c r="AF141" s="30">
        <f t="shared" ref="AF141:AK141" si="3">AF138/$AP$127</f>
        <v>0.17626633986928106</v>
      </c>
      <c r="AG141" s="30">
        <f t="shared" si="3"/>
        <v>0.3670797022512709</v>
      </c>
      <c r="AH141" s="30">
        <f t="shared" si="3"/>
        <v>0.1423611111111111</v>
      </c>
      <c r="AI141" s="30">
        <f t="shared" si="3"/>
        <v>0.14288307915758897</v>
      </c>
      <c r="AJ141" s="30">
        <f t="shared" si="3"/>
        <v>7.1441539578794483E-2</v>
      </c>
      <c r="AK141" s="43">
        <f t="shared" si="3"/>
        <v>9.9968228031953515E-2</v>
      </c>
      <c r="AL141" s="9"/>
      <c r="AM141" s="16">
        <f>SUM(AF141:AK141)</f>
        <v>1</v>
      </c>
      <c r="AN141" s="9"/>
      <c r="AO141" s="10"/>
      <c r="AP141" s="11"/>
      <c r="AQ141" s="11"/>
    </row>
    <row r="142" spans="14:43" x14ac:dyDescent="0.55000000000000004">
      <c r="N142" s="6"/>
      <c r="O142" s="6"/>
      <c r="Q142" s="6"/>
      <c r="U142" s="6"/>
      <c r="V142" s="6"/>
      <c r="Z142" s="6"/>
      <c r="AA142" s="6"/>
      <c r="AC142" s="6"/>
      <c r="AI142" s="6"/>
      <c r="AJ142" s="6"/>
    </row>
    <row r="143" spans="14:43" x14ac:dyDescent="0.55000000000000004">
      <c r="N143" s="6"/>
      <c r="O143" s="6"/>
      <c r="Q143" s="6"/>
      <c r="U143" s="6"/>
      <c r="V143" s="6"/>
      <c r="Z143" s="6"/>
      <c r="AA143" s="6"/>
      <c r="AC143" s="6"/>
      <c r="AI143" s="6"/>
      <c r="AJ143" s="6"/>
    </row>
    <row r="144" spans="14:43" x14ac:dyDescent="0.55000000000000004">
      <c r="N144" s="6"/>
      <c r="O144" s="6"/>
      <c r="Q144" s="6"/>
      <c r="U144" s="6"/>
      <c r="V144" s="6"/>
      <c r="Z144" s="6"/>
      <c r="AA144" s="6"/>
      <c r="AC144" s="6"/>
      <c r="AI144" s="6"/>
      <c r="AJ144" s="6"/>
    </row>
    <row r="145" spans="14:36" x14ac:dyDescent="0.55000000000000004">
      <c r="N145" s="6"/>
      <c r="O145" s="6"/>
      <c r="Q145" s="6"/>
      <c r="U145" s="6"/>
      <c r="V145" s="6"/>
      <c r="Z145" s="6"/>
      <c r="AA145" s="6"/>
      <c r="AC145" s="6"/>
      <c r="AI145" s="6"/>
      <c r="AJ145" s="6"/>
    </row>
    <row r="146" spans="14:36" x14ac:dyDescent="0.55000000000000004">
      <c r="N146" s="6"/>
      <c r="O146" s="6"/>
      <c r="Q146" s="6"/>
      <c r="U146" s="6"/>
      <c r="V146" s="6"/>
      <c r="Z146" s="6"/>
      <c r="AA146" s="6"/>
      <c r="AC146" s="6"/>
      <c r="AI146" s="6"/>
      <c r="AJ146" s="6"/>
    </row>
    <row r="147" spans="14:36" x14ac:dyDescent="0.55000000000000004">
      <c r="N147" s="6"/>
      <c r="O147" s="6"/>
      <c r="Q147" s="6"/>
      <c r="U147" s="6"/>
      <c r="V147" s="6"/>
      <c r="Z147" s="6"/>
      <c r="AA147" s="6"/>
      <c r="AC147" s="6"/>
      <c r="AI147" s="6"/>
      <c r="AJ147" s="6"/>
    </row>
    <row r="148" spans="14:36" x14ac:dyDescent="0.55000000000000004">
      <c r="N148" s="6"/>
      <c r="O148" s="6"/>
      <c r="Q148" s="6"/>
      <c r="U148" s="6"/>
      <c r="V148" s="6"/>
      <c r="Z148" s="6"/>
      <c r="AA148" s="6"/>
      <c r="AC148" s="6"/>
      <c r="AI148" s="6"/>
      <c r="AJ148" s="6"/>
    </row>
    <row r="149" spans="14:36" x14ac:dyDescent="0.55000000000000004">
      <c r="N149" s="6"/>
      <c r="O149" s="6"/>
      <c r="Q149" s="6"/>
      <c r="U149" s="6"/>
      <c r="V149" s="6"/>
      <c r="Z149" s="6"/>
      <c r="AA149" s="6"/>
      <c r="AC149" s="6"/>
      <c r="AI149" s="6"/>
      <c r="AJ149" s="6"/>
    </row>
  </sheetData>
  <hyperlinks>
    <hyperlink ref="AY2" r:id="rId1" xr:uid="{00000000-0004-0000-0000-000000000000}"/>
    <hyperlink ref="AY3" r:id="rId2" xr:uid="{00000000-0004-0000-0000-000001000000}"/>
    <hyperlink ref="AY4" r:id="rId3" xr:uid="{00000000-0004-0000-0000-000002000000}"/>
    <hyperlink ref="AY5" r:id="rId4" xr:uid="{00000000-0004-0000-0000-000003000000}"/>
    <hyperlink ref="AY6" r:id="rId5" xr:uid="{00000000-0004-0000-0000-000004000000}"/>
    <hyperlink ref="AY7" r:id="rId6" xr:uid="{00000000-0004-0000-0000-000005000000}"/>
    <hyperlink ref="AY8" r:id="rId7" xr:uid="{00000000-0004-0000-0000-000006000000}"/>
    <hyperlink ref="AY11" r:id="rId8" xr:uid="{00000000-0004-0000-0000-000007000000}"/>
    <hyperlink ref="AY12" r:id="rId9" xr:uid="{00000000-0004-0000-0000-000008000000}"/>
    <hyperlink ref="AY16" r:id="rId10" xr:uid="{00000000-0004-0000-0000-000009000000}"/>
    <hyperlink ref="AY20" r:id="rId11" xr:uid="{00000000-0004-0000-0000-00000A000000}"/>
    <hyperlink ref="AY22" r:id="rId12" xr:uid="{00000000-0004-0000-0000-00000B000000}"/>
    <hyperlink ref="AY23" r:id="rId13" xr:uid="{00000000-0004-0000-0000-00000C000000}"/>
    <hyperlink ref="AY24" r:id="rId14" xr:uid="{00000000-0004-0000-0000-00000D000000}"/>
    <hyperlink ref="AY25" r:id="rId15" xr:uid="{00000000-0004-0000-0000-00000E000000}"/>
    <hyperlink ref="AY26" r:id="rId16" xr:uid="{00000000-0004-0000-0000-00000F000000}"/>
    <hyperlink ref="AY27" r:id="rId17" xr:uid="{00000000-0004-0000-0000-000010000000}"/>
    <hyperlink ref="AY29" r:id="rId18" xr:uid="{00000000-0004-0000-0000-000011000000}"/>
    <hyperlink ref="AY31" r:id="rId19" xr:uid="{00000000-0004-0000-0000-000012000000}"/>
    <hyperlink ref="AY32" r:id="rId20" xr:uid="{00000000-0004-0000-0000-000013000000}"/>
    <hyperlink ref="AY33" r:id="rId21" xr:uid="{00000000-0004-0000-0000-000014000000}"/>
    <hyperlink ref="AY36" r:id="rId22" xr:uid="{00000000-0004-0000-0000-000015000000}"/>
    <hyperlink ref="AY37" r:id="rId23" xr:uid="{00000000-0004-0000-0000-000016000000}"/>
    <hyperlink ref="AY38" r:id="rId24" xr:uid="{00000000-0004-0000-0000-000017000000}"/>
    <hyperlink ref="AY42" r:id="rId25" xr:uid="{00000000-0004-0000-0000-000018000000}"/>
    <hyperlink ref="AY43" r:id="rId26" xr:uid="{00000000-0004-0000-0000-000019000000}"/>
    <hyperlink ref="AY45" r:id="rId27" xr:uid="{00000000-0004-0000-0000-00001A000000}"/>
    <hyperlink ref="AY46" r:id="rId28" xr:uid="{00000000-0004-0000-0000-00001B000000}"/>
    <hyperlink ref="AY50" r:id="rId29" xr:uid="{00000000-0004-0000-0000-00001C000000}"/>
    <hyperlink ref="AY52" r:id="rId30" xr:uid="{00000000-0004-0000-0000-00001D000000}"/>
    <hyperlink ref="AY57" r:id="rId31" xr:uid="{00000000-0004-0000-0000-00001E000000}"/>
    <hyperlink ref="AY58" r:id="rId32" xr:uid="{00000000-0004-0000-0000-00001F000000}"/>
    <hyperlink ref="AY59" r:id="rId33" xr:uid="{00000000-0004-0000-0000-000020000000}"/>
    <hyperlink ref="AY60" r:id="rId34" xr:uid="{00000000-0004-0000-0000-000021000000}"/>
    <hyperlink ref="AY61" r:id="rId35" xr:uid="{00000000-0004-0000-0000-000022000000}"/>
    <hyperlink ref="AY62" r:id="rId36" xr:uid="{00000000-0004-0000-0000-000023000000}"/>
    <hyperlink ref="AY63" r:id="rId37" xr:uid="{00000000-0004-0000-0000-000024000000}"/>
    <hyperlink ref="AY65" r:id="rId38" xr:uid="{00000000-0004-0000-0000-000025000000}"/>
    <hyperlink ref="AY68" r:id="rId39" xr:uid="{00000000-0004-0000-0000-000026000000}"/>
    <hyperlink ref="AY70" r:id="rId40" xr:uid="{00000000-0004-0000-0000-000027000000}"/>
    <hyperlink ref="AY71" r:id="rId41" xr:uid="{00000000-0004-0000-0000-000028000000}"/>
    <hyperlink ref="AY73" r:id="rId42" xr:uid="{00000000-0004-0000-0000-000029000000}"/>
    <hyperlink ref="AY74" r:id="rId43" xr:uid="{00000000-0004-0000-0000-00002A000000}"/>
    <hyperlink ref="AY77" r:id="rId44" xr:uid="{00000000-0004-0000-0000-00002B000000}"/>
    <hyperlink ref="AY79" r:id="rId45" xr:uid="{00000000-0004-0000-0000-00002C000000}"/>
    <hyperlink ref="AY80" r:id="rId46" xr:uid="{00000000-0004-0000-0000-00002D000000}"/>
    <hyperlink ref="AY81" r:id="rId47" xr:uid="{00000000-0004-0000-0000-00002E000000}"/>
    <hyperlink ref="AY82" r:id="rId48" xr:uid="{00000000-0004-0000-0000-00002F000000}"/>
    <hyperlink ref="AY84" r:id="rId49" xr:uid="{00000000-0004-0000-0000-000030000000}"/>
    <hyperlink ref="AY86" r:id="rId50" xr:uid="{00000000-0004-0000-0000-000031000000}"/>
    <hyperlink ref="AY88" r:id="rId51" xr:uid="{00000000-0004-0000-0000-000032000000}"/>
    <hyperlink ref="AY89" r:id="rId52" xr:uid="{00000000-0004-0000-0000-000033000000}"/>
    <hyperlink ref="AY90" r:id="rId53" display="https://ieeexplore.ieee.org/stamp/stamp.jsp?arnumber=10266227" xr:uid="{00000000-0004-0000-0000-000034000000}"/>
    <hyperlink ref="AY91" r:id="rId54" xr:uid="{00000000-0004-0000-0000-000035000000}"/>
    <hyperlink ref="AY92" r:id="rId55" xr:uid="{00000000-0004-0000-0000-000036000000}"/>
    <hyperlink ref="AY93" r:id="rId56" xr:uid="{00000000-0004-0000-0000-000037000000}"/>
    <hyperlink ref="AY95" r:id="rId57" xr:uid="{00000000-0004-0000-0000-000038000000}"/>
    <hyperlink ref="AY97" r:id="rId58" xr:uid="{00000000-0004-0000-0000-000039000000}"/>
    <hyperlink ref="AY98" r:id="rId59" xr:uid="{00000000-0004-0000-0000-00003A000000}"/>
    <hyperlink ref="AY99" r:id="rId60" xr:uid="{00000000-0004-0000-0000-00003B000000}"/>
    <hyperlink ref="AY100" r:id="rId61" xr:uid="{00000000-0004-0000-0000-00003C000000}"/>
    <hyperlink ref="AY101" r:id="rId62" xr:uid="{00000000-0004-0000-0000-00003D000000}"/>
    <hyperlink ref="AY102" r:id="rId63" xr:uid="{00000000-0004-0000-0000-00003E000000}"/>
    <hyperlink ref="AY103" r:id="rId64" xr:uid="{00000000-0004-0000-0000-00003F000000}"/>
    <hyperlink ref="AY104" r:id="rId65" xr:uid="{00000000-0004-0000-0000-000040000000}"/>
    <hyperlink ref="AY106" r:id="rId66" xr:uid="{00000000-0004-0000-0000-000041000000}"/>
    <hyperlink ref="AY107" r:id="rId67" xr:uid="{00000000-0004-0000-0000-000042000000}"/>
    <hyperlink ref="AY109" r:id="rId68" xr:uid="{00000000-0004-0000-0000-000043000000}"/>
    <hyperlink ref="AY112" r:id="rId69" xr:uid="{00000000-0004-0000-0000-000044000000}"/>
    <hyperlink ref="AY113" r:id="rId70" xr:uid="{00000000-0004-0000-0000-000045000000}"/>
    <hyperlink ref="AY120" r:id="rId71" xr:uid="{00000000-0004-0000-0000-000046000000}"/>
    <hyperlink ref="AY121" r:id="rId72" xr:uid="{00000000-0004-0000-0000-000047000000}"/>
    <hyperlink ref="AY122" r:id="rId73" xr:uid="{00000000-0004-0000-0000-000048000000}"/>
    <hyperlink ref="AY123" r:id="rId74" xr:uid="{00000000-0004-0000-0000-000049000000}"/>
  </hyperlinks>
  <pageMargins left="0.7" right="0.7" top="0.75" bottom="0.75" header="0.3" footer="0.3"/>
  <pageSetup orientation="portrait"/>
  <tableParts count="1">
    <tablePart r:id="rId75"/>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RELEVANT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DOMENICO GARLISI</dc:creator>
  <cp:lastModifiedBy>DOMENICO GARLISI</cp:lastModifiedBy>
  <cp:lastPrinted>2026-06-26T20:22:26Z</cp:lastPrinted>
  <dcterms:created xsi:type="dcterms:W3CDTF">2026-06-26T10:59:17Z</dcterms:created>
  <dcterms:modified xsi:type="dcterms:W3CDTF">2026-09-16T12:41:40Z</dcterms:modified>
</cp:coreProperties>
</file>